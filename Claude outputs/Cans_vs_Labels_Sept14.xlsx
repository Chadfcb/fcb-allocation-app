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ave Labels For" sheetId="1" state="visible" r:id="rId3"/>
    <sheet name="Don't Have Labels For" sheetId="2" state="visible" r:id="rId4"/>
    <sheet name="Assumptions &amp; Sour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<sst xmlns="http://schemas.openxmlformats.org/spreadsheetml/2006/main" count="61" uniqueCount="38">
  <si>
    <t xml:space="preserve">Have Labels For — Can Purchase Is Usable</t>
  </si>
  <si>
    <t xml:space="preserve">Delivery Week of Sept 14th — cases/cans FCB can actually package with labels on hand today</t>
  </si>
  <si>
    <t xml:space="preserve">Brand</t>
  </si>
  <si>
    <t xml:space="preserve">Size</t>
  </si>
  <si>
    <t xml:space="preserve">Cases Ordered</t>
  </si>
  <si>
    <t xml:space="preserve">Cases Usable
(label-capped)</t>
  </si>
  <si>
    <t xml:space="preserve">Cans Usable</t>
  </si>
  <si>
    <t xml:space="preserve">Labels On Hand</t>
  </si>
  <si>
    <t xml:space="preserve">Value ($)</t>
  </si>
  <si>
    <t xml:space="preserve">Pallets</t>
  </si>
  <si>
    <t xml:space="preserve">Capt. Hazy</t>
  </si>
  <si>
    <t xml:space="preserve">19.2oz</t>
  </si>
  <si>
    <t xml:space="preserve">Nectarine Pie of the Tiger</t>
  </si>
  <si>
    <t xml:space="preserve">16oz</t>
  </si>
  <si>
    <t xml:space="preserve">Peachy Vibes</t>
  </si>
  <si>
    <t xml:space="preserve">12oz</t>
  </si>
  <si>
    <t xml:space="preserve">Mystic Haze IPA</t>
  </si>
  <si>
    <t xml:space="preserve">TOTAL</t>
  </si>
  <si>
    <t xml:space="preserve">Note: rows where a product is only partly coverable (Nectarine Pie 16oz, Peachy Vibes 19.2oz) show only the usable portion here — the blocked portion of the same product is on the other tab. Value is prorated by usable-cases share of the product's total order value (see Assumptions tab).</t>
  </si>
  <si>
    <t xml:space="preserve">Don't Have Labels For — Blocked by Label Shortage</t>
  </si>
  <si>
    <t xml:space="preserve">Delivery Week of Sept 14th — cases/cans on order that can't be packaged until more labels arrive</t>
  </si>
  <si>
    <t xml:space="preserve">Cases Blocked</t>
  </si>
  <si>
    <t xml:space="preserve">Labels Needed
(= Cans Blocked)</t>
  </si>
  <si>
    <t xml:space="preserve">Capt. WC IPA</t>
  </si>
  <si>
    <t xml:space="preserve">Spartan</t>
  </si>
  <si>
    <t xml:space="preserve">Big Daddy IPA</t>
  </si>
  <si>
    <t xml:space="preserve">Note: "Labels Needed" is the label count still required to package every case on order for that product (1 label per can). Remaining $0.00 lines are orders placed under Valley Wide Cans specifically — Valley Wide (the real distributor) currently has no price entered on the Distributor Pricing page, unlike Markstein/Matagrano which now price correctly — see Assumptions tab.</t>
  </si>
  <si>
    <t xml:space="preserve">Assumptions &amp; Source</t>
  </si>
  <si>
    <t xml:space="preserve">Source: pulled live from fcb-data.com on 2026-09-14 — Inventory &amp; Allocation page (current orders + label inventory) and Distributor Pricing page (per-distributor case prices), Delivery Week of Sept 14th.</t>
  </si>
  <si>
    <t xml:space="preserve">Scope: only can/case products with a real order this week are included (kegs and zero-order products are left out).</t>
  </si>
  <si>
    <t xml:space="preserve">Cans per case: 19.2oz = 12 cans/case, 16oz = 24 cans/case, 12oz = 24 cans/case (FCB's own packaging recipe).</t>
  </si>
  <si>
    <t xml:space="preserve">Labels are tracked one-per-can, per product (not per size) — "Labels On Hand" divided by cans/case gives how many cases of THAT product can actually be labeled right now.</t>
  </si>
  <si>
    <t xml:space="preserve">"Cases Usable" = the smaller of (cases ordered) and (cases coverable by labels on hand). Anything above that is "Cases Blocked" on the other tab — cans you could buy but couldn't label until more labels arrive.</t>
  </si>
  <si>
    <t xml:space="preserve">Value: computed as (case quantity × that distributor's price for that product), using the live Distributor Pricing grid, summed across every distributor that ordered it. For the two partially-blocked products (Nectarine Pie 16oz, Peachy Vibes 19.2oz), the order spans multiple distributor lines with different prices, so the total product value was prorated by the usable-vs-blocked case share rather than tied to a specific distributor's line — flag this if you need the exact line-level split.</t>
  </si>
  <si>
    <t xml:space="preserve">Markstein Cans / Matagrano Cans pricing: these two new distributor rows (added 2026-09-14, alongside Valley Wide Cans) had $0.00 entered on Distributor Pricing when this file was first built. Per Chad's direction, orders placed under Markstein Cans are priced using the real Markstein distributor's price for that product, and orders under Matagrano Cans use the real Matagrano distributor's price (both now show correctly on the Distributor Pricing page after Chad re-added Matagrano/Markstein to the Inventory &amp; Allocation page's active distributor list — that re-linked their pricing too).</t>
  </si>
  <si>
    <t xml:space="preserve">Known app issue (Chad flagged live, 2026-09-14): the Distributor Pricing page's distributor columns appear to be tied to which distributors are marked active on the Inventory &amp; Allocation page, rather than showing every distributor that has ever had pricing entered — that's why Matagrano/Markstein pricing had disappeared, and reappeared the moment they were re-added as active. This looks like a real bug worth a permanent fix (Chad, let me know if you want this looked at as a code fix rather than just worked around here).</t>
  </si>
  <si>
    <t xml:space="preserve">Valley Wide Cans orders still price at $0.00: the real Valley Wide distributor itself currently has no price entered on the Distributor Pricing page (Chad noticed this disappeared too, cause not yet identified) — those specific order lines (Peachy Vibes 19.2oz, and part of several other products) will need a real Valley Wide price before their value is accurate.</t>
  </si>
  <si>
    <t xml:space="preserve">Pallets: FCB's own finished-case pallet math — 7 layers/pallet; 19.2oz stacks 20 cases/layer (140 cases/pallet), 16oz and 12oz stack 10 cases/layer (70 cases/pallet). This is the app's shipping-pallet definition, not a can-supplier's blank-can pallet spec.</t>
  </si>
</sst>
</file>

<file path=xl/styles.xml><?xml version="1.0" encoding="utf-8"?>
<styleSheet xmlns="http://schemas.openxmlformats.org/spreadsheetml/2006/main">
  <numFmts count="4">
    <numFmt numFmtId="164" formatCode="General"/>
    <numFmt numFmtId="165" formatCode="#,##0;\(#,##0\);\-"/>
    <numFmt numFmtId="166" formatCode="\$#,##0.00;&quot;($&quot;#,##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666666"/>
      <name val="Arial"/>
      <family val="0"/>
      <charset val="1"/>
    </font>
    <font>
      <b val="true"/>
      <sz val="11"/>
      <color rgb="FFFFFFFF"/>
      <name val="Arial"/>
      <family val="0"/>
      <charset val="1"/>
    </font>
    <font>
      <sz val="11"/>
      <name val="Arial"/>
      <family val="0"/>
      <charset val="1"/>
    </font>
    <font>
      <b val="true"/>
      <sz val="11"/>
      <name val="Arial"/>
      <family val="0"/>
      <charset val="1"/>
    </font>
  </fonts>
  <fills count="5">
    <fill>
      <patternFill patternType="none"/>
    </fill>
    <fill>
      <patternFill patternType="gray125"/>
    </fill>
    <fill>
      <patternFill patternType="solid">
        <fgColor rgb="FF1F2937"/>
        <bgColor rgb="FF333300"/>
      </patternFill>
    </fill>
    <fill>
      <patternFill patternType="solid">
        <fgColor rgb="FFE5F6E5"/>
        <bgColor rgb="FFCCFFFF"/>
      </patternFill>
    </fill>
    <fill>
      <patternFill patternType="solid">
        <fgColor rgb="FFFBE5E5"/>
        <bgColor rgb="FFE5F6E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0" fillId="3" borderId="1" xfId="0" applyFont="fals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xf numFmtId="167" fontId="0" fillId="3"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5E5"/>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5F6E5"/>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3"/>
    <col collapsed="false" customWidth="true" hidden="false" outlineLevel="0" max="4" min="4" style="0" width="15"/>
    <col collapsed="false" customWidth="true" hidden="false" outlineLevel="0" max="5" min="5" style="0" width="12"/>
    <col collapsed="false" customWidth="true" hidden="false" outlineLevel="0" max="6" min="6" style="0" width="14"/>
    <col collapsed="false" customWidth="true" hidden="false" outlineLevel="0" max="7" min="7" style="0" width="12"/>
    <col collapsed="false" customWidth="true" hidden="false" outlineLevel="0" max="8" min="8" style="0" width="9"/>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26.85" hidden="false" customHeight="false" outlineLevel="0" collapsed="false">
      <c r="A4" s="3" t="s">
        <v>2</v>
      </c>
      <c r="B4" s="3" t="s">
        <v>3</v>
      </c>
      <c r="C4" s="3" t="s">
        <v>4</v>
      </c>
      <c r="D4" s="3" t="s">
        <v>5</v>
      </c>
      <c r="E4" s="3" t="s">
        <v>6</v>
      </c>
      <c r="F4" s="3" t="s">
        <v>7</v>
      </c>
      <c r="G4" s="3" t="s">
        <v>8</v>
      </c>
      <c r="H4" s="3" t="s">
        <v>9</v>
      </c>
    </row>
    <row r="5" customFormat="false" ht="15" hidden="false" customHeight="false" outlineLevel="0" collapsed="false">
      <c r="A5" s="4" t="s">
        <v>10</v>
      </c>
      <c r="B5" s="4" t="s">
        <v>11</v>
      </c>
      <c r="C5" s="5" t="n">
        <v>20</v>
      </c>
      <c r="D5" s="5" t="n">
        <v>20</v>
      </c>
      <c r="E5" s="5" t="n">
        <v>240</v>
      </c>
      <c r="F5" s="5" t="n">
        <v>786</v>
      </c>
      <c r="G5" s="6" t="n">
        <v>245</v>
      </c>
      <c r="H5" s="7" t="n">
        <v>0.14</v>
      </c>
    </row>
    <row r="6" customFormat="false" ht="15" hidden="false" customHeight="false" outlineLevel="0" collapsed="false">
      <c r="A6" s="4" t="s">
        <v>12</v>
      </c>
      <c r="B6" s="4" t="s">
        <v>13</v>
      </c>
      <c r="C6" s="5" t="n">
        <v>50</v>
      </c>
      <c r="D6" s="5" t="n">
        <v>5</v>
      </c>
      <c r="E6" s="5" t="n">
        <v>120</v>
      </c>
      <c r="F6" s="5" t="n">
        <v>140</v>
      </c>
      <c r="G6" s="6" t="n">
        <v>145.05</v>
      </c>
      <c r="H6" s="7" t="n">
        <v>0.07</v>
      </c>
    </row>
    <row r="7" customFormat="false" ht="15" hidden="false" customHeight="false" outlineLevel="0" collapsed="false">
      <c r="A7" s="4" t="s">
        <v>14</v>
      </c>
      <c r="B7" s="4" t="s">
        <v>11</v>
      </c>
      <c r="C7" s="5" t="n">
        <v>20</v>
      </c>
      <c r="D7" s="5" t="n">
        <v>16</v>
      </c>
      <c r="E7" s="5" t="n">
        <v>192</v>
      </c>
      <c r="F7" s="5" t="n">
        <v>199</v>
      </c>
      <c r="G7" s="6" t="n">
        <v>0</v>
      </c>
      <c r="H7" s="7" t="n">
        <v>0.11</v>
      </c>
    </row>
    <row r="8" customFormat="false" ht="15" hidden="false" customHeight="false" outlineLevel="0" collapsed="false">
      <c r="A8" s="4" t="s">
        <v>14</v>
      </c>
      <c r="B8" s="4" t="s">
        <v>15</v>
      </c>
      <c r="C8" s="5" t="n">
        <v>50</v>
      </c>
      <c r="D8" s="5" t="n">
        <v>50</v>
      </c>
      <c r="E8" s="5" t="n">
        <v>1200</v>
      </c>
      <c r="F8" s="5" t="n">
        <v>2811</v>
      </c>
      <c r="G8" s="6" t="n">
        <v>785.7</v>
      </c>
      <c r="H8" s="7" t="n">
        <v>0.71</v>
      </c>
    </row>
    <row r="9" customFormat="false" ht="15" hidden="false" customHeight="false" outlineLevel="0" collapsed="false">
      <c r="A9" s="4" t="s">
        <v>16</v>
      </c>
      <c r="B9" s="4" t="s">
        <v>11</v>
      </c>
      <c r="C9" s="5" t="n">
        <v>5</v>
      </c>
      <c r="D9" s="5" t="n">
        <v>5</v>
      </c>
      <c r="E9" s="5" t="n">
        <v>60</v>
      </c>
      <c r="F9" s="5" t="n">
        <v>620</v>
      </c>
      <c r="G9" s="6" t="n">
        <v>122.5</v>
      </c>
      <c r="H9" s="7" t="n">
        <v>0.04</v>
      </c>
    </row>
    <row r="10" customFormat="false" ht="15" hidden="false" customHeight="false" outlineLevel="0" collapsed="false">
      <c r="A10" s="4" t="s">
        <v>16</v>
      </c>
      <c r="B10" s="4" t="s">
        <v>15</v>
      </c>
      <c r="C10" s="5" t="n">
        <v>10</v>
      </c>
      <c r="D10" s="5" t="n">
        <v>10</v>
      </c>
      <c r="E10" s="5" t="n">
        <v>240</v>
      </c>
      <c r="F10" s="5" t="n">
        <v>1400</v>
      </c>
      <c r="G10" s="6" t="n">
        <v>282.9</v>
      </c>
      <c r="H10" s="7" t="n">
        <v>0.14</v>
      </c>
    </row>
    <row r="11" customFormat="false" ht="15" hidden="false" customHeight="false" outlineLevel="0" collapsed="false">
      <c r="A11" s="8" t="s">
        <v>17</v>
      </c>
      <c r="B11" s="8"/>
      <c r="C11" s="8"/>
      <c r="D11" s="8"/>
      <c r="E11" s="9" t="n">
        <f aca="false">SUM(E5:E10)</f>
        <v>2052</v>
      </c>
      <c r="F11" s="8"/>
      <c r="G11" s="10" t="n">
        <f aca="false">SUM(G5:G10)</f>
        <v>1581.15</v>
      </c>
      <c r="H11" s="11" t="n">
        <f aca="false">SUM(H5:H10)</f>
        <v>1.21</v>
      </c>
    </row>
    <row r="13" customFormat="false" ht="30" hidden="false" customHeight="true" outlineLevel="0" collapsed="false">
      <c r="A13" s="12" t="s">
        <v>18</v>
      </c>
      <c r="B13" s="12"/>
      <c r="C13" s="12"/>
      <c r="D13" s="12"/>
      <c r="E13" s="12"/>
      <c r="F13" s="12"/>
      <c r="G13" s="12"/>
      <c r="H13" s="12"/>
    </row>
  </sheetData>
  <mergeCells count="3">
    <mergeCell ref="A1:H1"/>
    <mergeCell ref="A2:H2"/>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4" min="3" style="0" width="13"/>
    <col collapsed="false" customWidth="true" hidden="false" outlineLevel="0" max="5" min="5" style="0" width="15"/>
    <col collapsed="false" customWidth="true" hidden="false" outlineLevel="0" max="6" min="6" style="0" width="14"/>
    <col collapsed="false" customWidth="true" hidden="false" outlineLevel="0" max="7" min="7" style="0" width="12"/>
    <col collapsed="false" customWidth="true" hidden="false" outlineLevel="0" max="8" min="8" style="0" width="9"/>
  </cols>
  <sheetData>
    <row r="1" customFormat="false" ht="17.35" hidden="false" customHeight="false" outlineLevel="0" collapsed="false">
      <c r="A1" s="1" t="s">
        <v>19</v>
      </c>
      <c r="B1" s="1"/>
      <c r="C1" s="1"/>
      <c r="D1" s="1"/>
      <c r="E1" s="1"/>
      <c r="F1" s="1"/>
      <c r="G1" s="1"/>
      <c r="H1" s="1"/>
    </row>
    <row r="2" customFormat="false" ht="15" hidden="false" customHeight="false" outlineLevel="0" collapsed="false">
      <c r="A2" s="2" t="s">
        <v>20</v>
      </c>
      <c r="B2" s="2"/>
      <c r="C2" s="2"/>
      <c r="D2" s="2"/>
      <c r="E2" s="2"/>
      <c r="F2" s="2"/>
      <c r="G2" s="2"/>
      <c r="H2" s="2"/>
    </row>
    <row r="4" customFormat="false" ht="52.2" hidden="false" customHeight="false" outlineLevel="0" collapsed="false">
      <c r="A4" s="3" t="s">
        <v>2</v>
      </c>
      <c r="B4" s="3" t="s">
        <v>3</v>
      </c>
      <c r="C4" s="3" t="s">
        <v>4</v>
      </c>
      <c r="D4" s="3" t="s">
        <v>21</v>
      </c>
      <c r="E4" s="3" t="s">
        <v>22</v>
      </c>
      <c r="F4" s="3" t="s">
        <v>7</v>
      </c>
      <c r="G4" s="3" t="s">
        <v>8</v>
      </c>
      <c r="H4" s="3" t="s">
        <v>9</v>
      </c>
    </row>
    <row r="5" customFormat="false" ht="15" hidden="false" customHeight="false" outlineLevel="0" collapsed="false">
      <c r="A5" s="13" t="s">
        <v>10</v>
      </c>
      <c r="B5" s="13" t="s">
        <v>13</v>
      </c>
      <c r="C5" s="14" t="n">
        <v>65</v>
      </c>
      <c r="D5" s="14" t="n">
        <v>65</v>
      </c>
      <c r="E5" s="14" t="n">
        <v>1560</v>
      </c>
      <c r="F5" s="14" t="n">
        <v>0</v>
      </c>
      <c r="G5" s="15" t="n">
        <v>2493.7</v>
      </c>
      <c r="H5" s="16" t="n">
        <v>0.93</v>
      </c>
    </row>
    <row r="6" customFormat="false" ht="15" hidden="false" customHeight="false" outlineLevel="0" collapsed="false">
      <c r="A6" s="13" t="s">
        <v>23</v>
      </c>
      <c r="B6" s="13" t="s">
        <v>13</v>
      </c>
      <c r="C6" s="14" t="n">
        <v>45</v>
      </c>
      <c r="D6" s="14" t="n">
        <v>45</v>
      </c>
      <c r="E6" s="14" t="n">
        <v>1080</v>
      </c>
      <c r="F6" s="14" t="n">
        <v>0</v>
      </c>
      <c r="G6" s="15" t="n">
        <v>1586.9</v>
      </c>
      <c r="H6" s="16" t="n">
        <v>0.64</v>
      </c>
    </row>
    <row r="7" customFormat="false" ht="15" hidden="false" customHeight="false" outlineLevel="0" collapsed="false">
      <c r="A7" s="13" t="s">
        <v>12</v>
      </c>
      <c r="B7" s="13" t="s">
        <v>13</v>
      </c>
      <c r="C7" s="14" t="n">
        <v>50</v>
      </c>
      <c r="D7" s="14" t="n">
        <v>45</v>
      </c>
      <c r="E7" s="14" t="n">
        <v>1080</v>
      </c>
      <c r="F7" s="14" t="n">
        <v>140</v>
      </c>
      <c r="G7" s="15" t="n">
        <v>1305.45</v>
      </c>
      <c r="H7" s="16" t="n">
        <v>0.64</v>
      </c>
    </row>
    <row r="8" customFormat="false" ht="15" hidden="false" customHeight="false" outlineLevel="0" collapsed="false">
      <c r="A8" s="13" t="s">
        <v>14</v>
      </c>
      <c r="B8" s="13" t="s">
        <v>11</v>
      </c>
      <c r="C8" s="14" t="n">
        <v>20</v>
      </c>
      <c r="D8" s="14" t="n">
        <v>4</v>
      </c>
      <c r="E8" s="14" t="n">
        <v>48</v>
      </c>
      <c r="F8" s="14" t="n">
        <v>199</v>
      </c>
      <c r="G8" s="15" t="n">
        <v>0</v>
      </c>
      <c r="H8" s="16" t="n">
        <v>0.03</v>
      </c>
    </row>
    <row r="9" customFormat="false" ht="15" hidden="false" customHeight="false" outlineLevel="0" collapsed="false">
      <c r="A9" s="13" t="s">
        <v>24</v>
      </c>
      <c r="B9" s="13" t="s">
        <v>15</v>
      </c>
      <c r="C9" s="14" t="n">
        <v>125</v>
      </c>
      <c r="D9" s="14" t="n">
        <v>125</v>
      </c>
      <c r="E9" s="14" t="n">
        <v>3000</v>
      </c>
      <c r="F9" s="14" t="n">
        <v>0</v>
      </c>
      <c r="G9" s="15" t="n">
        <v>5000</v>
      </c>
      <c r="H9" s="16" t="n">
        <v>1.79</v>
      </c>
    </row>
    <row r="10" customFormat="false" ht="15" hidden="false" customHeight="false" outlineLevel="0" collapsed="false">
      <c r="A10" s="13" t="s">
        <v>25</v>
      </c>
      <c r="B10" s="13" t="s">
        <v>11</v>
      </c>
      <c r="C10" s="14" t="n">
        <v>110</v>
      </c>
      <c r="D10" s="14" t="n">
        <v>110</v>
      </c>
      <c r="E10" s="14" t="n">
        <v>1320</v>
      </c>
      <c r="F10" s="14" t="n">
        <v>0</v>
      </c>
      <c r="G10" s="15" t="n">
        <v>2695</v>
      </c>
      <c r="H10" s="16" t="n">
        <v>0.79</v>
      </c>
    </row>
    <row r="11" customFormat="false" ht="15" hidden="false" customHeight="false" outlineLevel="0" collapsed="false">
      <c r="A11" s="13" t="s">
        <v>25</v>
      </c>
      <c r="B11" s="13" t="s">
        <v>15</v>
      </c>
      <c r="C11" s="14" t="n">
        <v>60</v>
      </c>
      <c r="D11" s="14" t="n">
        <v>60</v>
      </c>
      <c r="E11" s="14" t="n">
        <v>1440</v>
      </c>
      <c r="F11" s="14" t="n">
        <v>0</v>
      </c>
      <c r="G11" s="15" t="n">
        <v>1695</v>
      </c>
      <c r="H11" s="16" t="n">
        <v>0.86</v>
      </c>
    </row>
    <row r="12" customFormat="false" ht="15" hidden="false" customHeight="false" outlineLevel="0" collapsed="false">
      <c r="A12" s="8" t="s">
        <v>17</v>
      </c>
      <c r="B12" s="8"/>
      <c r="C12" s="8"/>
      <c r="D12" s="8"/>
      <c r="E12" s="9" t="n">
        <f aca="false">SUM(E5:E11)</f>
        <v>9528</v>
      </c>
      <c r="F12" s="8"/>
      <c r="G12" s="10" t="n">
        <f aca="false">SUM(G5:G11)</f>
        <v>14776.05</v>
      </c>
      <c r="H12" s="11" t="n">
        <f aca="false">SUM(H5:H11)</f>
        <v>5.68</v>
      </c>
    </row>
    <row r="14" customFormat="false" ht="30" hidden="false" customHeight="true" outlineLevel="0" collapsed="false">
      <c r="A14" s="12" t="s">
        <v>26</v>
      </c>
      <c r="B14" s="12"/>
      <c r="C14" s="12"/>
      <c r="D14" s="12"/>
      <c r="E14" s="12"/>
      <c r="F14" s="12"/>
      <c r="G14" s="12"/>
      <c r="H14" s="12"/>
    </row>
  </sheetData>
  <mergeCells count="3">
    <mergeCell ref="A1:H1"/>
    <mergeCell ref="A2:H2"/>
    <mergeCell ref="A14:H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7" t="s">
        <v>27</v>
      </c>
    </row>
    <row r="2" customFormat="false" ht="7.5" hidden="false" customHeight="true" outlineLevel="0" collapsed="false">
      <c r="A2" s="18"/>
    </row>
    <row r="3" customFormat="false" ht="27.75" hidden="false" customHeight="true" outlineLevel="0" collapsed="false">
      <c r="A3" s="18" t="s">
        <v>28</v>
      </c>
    </row>
    <row r="4" customFormat="false" ht="7.5" hidden="false" customHeight="true" outlineLevel="0" collapsed="false">
      <c r="A4" s="18"/>
    </row>
    <row r="5" customFormat="false" ht="27.75" hidden="false" customHeight="true" outlineLevel="0" collapsed="false">
      <c r="A5" s="18" t="s">
        <v>29</v>
      </c>
    </row>
    <row r="6" customFormat="false" ht="7.5" hidden="false" customHeight="true" outlineLevel="0" collapsed="false">
      <c r="A6" s="18"/>
    </row>
    <row r="7" customFormat="false" ht="27.75" hidden="false" customHeight="true" outlineLevel="0" collapsed="false">
      <c r="A7" s="18" t="s">
        <v>30</v>
      </c>
    </row>
    <row r="8" customFormat="false" ht="7.5" hidden="false" customHeight="true" outlineLevel="0" collapsed="false">
      <c r="A8" s="18"/>
    </row>
    <row r="9" customFormat="false" ht="27.75" hidden="false" customHeight="true" outlineLevel="0" collapsed="false">
      <c r="A9" s="18" t="s">
        <v>31</v>
      </c>
    </row>
    <row r="10" customFormat="false" ht="7.5" hidden="false" customHeight="true" outlineLevel="0" collapsed="false">
      <c r="A10" s="18"/>
    </row>
    <row r="11" customFormat="false" ht="27.75" hidden="false" customHeight="true" outlineLevel="0" collapsed="false">
      <c r="A11" s="18" t="s">
        <v>32</v>
      </c>
    </row>
    <row r="12" customFormat="false" ht="7.5" hidden="false" customHeight="true" outlineLevel="0" collapsed="false">
      <c r="A12" s="18"/>
    </row>
    <row r="13" customFormat="false" ht="27.75" hidden="false" customHeight="true" outlineLevel="0" collapsed="false">
      <c r="A13" s="18" t="s">
        <v>33</v>
      </c>
    </row>
    <row r="14" customFormat="false" ht="7.5" hidden="false" customHeight="true" outlineLevel="0" collapsed="false">
      <c r="A14" s="18"/>
    </row>
    <row r="15" customFormat="false" ht="27.75" hidden="false" customHeight="true" outlineLevel="0" collapsed="false">
      <c r="A15" s="18" t="s">
        <v>34</v>
      </c>
    </row>
    <row r="16" customFormat="false" ht="7.5" hidden="false" customHeight="true" outlineLevel="0" collapsed="false">
      <c r="A16" s="18"/>
    </row>
    <row r="17" customFormat="false" ht="27.75" hidden="false" customHeight="true" outlineLevel="0" collapsed="false">
      <c r="A17" s="18" t="s">
        <v>35</v>
      </c>
    </row>
    <row r="18" customFormat="false" ht="7.5" hidden="false" customHeight="true" outlineLevel="0" collapsed="false">
      <c r="A18" s="18"/>
    </row>
    <row r="19" customFormat="false" ht="27.75" hidden="false" customHeight="true" outlineLevel="0" collapsed="false">
      <c r="A19" s="18" t="s">
        <v>36</v>
      </c>
    </row>
    <row r="20" customFormat="false" ht="7.5" hidden="false" customHeight="true" outlineLevel="0" collapsed="false">
      <c r="A20" s="18"/>
    </row>
    <row r="21" customFormat="false" ht="27.75" hidden="false" customHeight="true" outlineLevel="0" collapsed="false">
      <c r="A21" s="18"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2026-09-14T22:50:49Z</dcterms:created>
  <dc:creator>openpyxl</dc:creator>
  <dc:description/>
  <dc:language>en-US</dc:language>
  <cp:lastModifiedBy/>
  <dcterms:modified xsi:type="dcterms:W3CDTF">2026-09-14T22:50:49Z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