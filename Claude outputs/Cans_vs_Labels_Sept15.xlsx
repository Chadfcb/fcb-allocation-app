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ve Labels For" sheetId="1" state="visible" r:id="rId3"/>
    <sheet name="Don't Have Labels For" sheetId="2" state="visible" r:id="rId4"/>
    <sheet name="Label Cost to Buy" sheetId="3" state="visible" r:id="rId5"/>
    <sheet name="Assumptions &amp; Sour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<sst xmlns="http://schemas.openxmlformats.org/spreadsheetml/2006/main" count="82" uniqueCount="44">
  <si>
    <t xml:space="preserve">Have Labels For — Can Purchase Is Usable</t>
  </si>
  <si>
    <t xml:space="preserve">Delivery Week of Sept 14th — cases/cans FCB can actually package with labels on hand today</t>
  </si>
  <si>
    <t xml:space="preserve">Brand</t>
  </si>
  <si>
    <t xml:space="preserve">Size</t>
  </si>
  <si>
    <t xml:space="preserve">Cases Ordered</t>
  </si>
  <si>
    <t xml:space="preserve">Cases Usable
(label-capped)</t>
  </si>
  <si>
    <t xml:space="preserve">Cans Usable</t>
  </si>
  <si>
    <t xml:space="preserve">Labels On Hand</t>
  </si>
  <si>
    <t xml:space="preserve">Value ($)</t>
  </si>
  <si>
    <t xml:space="preserve">Pallets</t>
  </si>
  <si>
    <t xml:space="preserve">Capt. Hazy</t>
  </si>
  <si>
    <t xml:space="preserve">19.2oz</t>
  </si>
  <si>
    <t xml:space="preserve">Nectarine Pie of the Tiger</t>
  </si>
  <si>
    <t xml:space="preserve">16oz</t>
  </si>
  <si>
    <t xml:space="preserve">Peachy Vibes</t>
  </si>
  <si>
    <t xml:space="preserve">12oz</t>
  </si>
  <si>
    <t xml:space="preserve">Mystic Haze IPA</t>
  </si>
  <si>
    <t xml:space="preserve">TOTAL</t>
  </si>
  <si>
    <t xml:space="preserve">Note: rows where a product is only partly coverable (Nectarine Pie 16oz, Peachy Vibes 19.2oz) show only the usable portion here — the blocked portion of the same product is on the other tab. Value is case count × that distributor's live Distributor Pricing price, summed across every distributor that ordered it this week (see Assumptions tab).</t>
  </si>
  <si>
    <t xml:space="preserve">Don't Have Labels For — Blocked by Label Shortage</t>
  </si>
  <si>
    <t xml:space="preserve">Delivery Week of Sept 14th — cases/cans on order that can't be packaged until more labels arrive</t>
  </si>
  <si>
    <t xml:space="preserve">Cases Blocked</t>
  </si>
  <si>
    <t xml:space="preserve">Labels Needed
(= Cans Blocked)</t>
  </si>
  <si>
    <t xml:space="preserve">Capt. WC IPA</t>
  </si>
  <si>
    <t xml:space="preserve">Spartan</t>
  </si>
  <si>
    <t xml:space="preserve">Big Daddy IPA</t>
  </si>
  <si>
    <t xml:space="preserve">Note: "Labels Needed" is the label count still required to package every case on order for that product (1 label per can). Value is case count × that distributor's live Distributor Pricing price — this is what the finished beer sells for, not a cost. What it costs to actually buy the missing labels is on the "Label Cost to Buy" tab.</t>
  </si>
  <si>
    <t xml:space="preserve">Label Cost to Buy — What It Costs to Order the Missing Labels</t>
  </si>
  <si>
    <t xml:space="preserve">Delivery Week of Sept 14th — every product blocked by a label shortage, and what it costs to buy enough labels to unblock it</t>
  </si>
  <si>
    <t xml:space="preserve">Labels Needed</t>
  </si>
  <si>
    <t xml:space="preserve">Cost per Label</t>
  </si>
  <si>
    <t xml:space="preserve">Cost to Buy ($)</t>
  </si>
  <si>
    <t xml:space="preserve">Cost per label, as given by Chad on 2026-09-15: $0.14 for 19.2oz and 16oz labels, $0.12 for 12oz labels. This is the actual out-of-pocket purchase cost to unblock every case currently sitting on the "Don't Have Labels For" tab — separate from that tab's Value column, which is what the finished beer is worth once packaged, not a cost.</t>
  </si>
  <si>
    <t xml:space="preserve">Assumptions &amp; Source</t>
  </si>
  <si>
    <t xml:space="preserve">Source: pulled live from fcb-data.com on 2026-09-15 — Inventory &amp; Allocation page (current orders + label inventory) and Distributor Pricing page (per-distributor case prices), Delivery Week of Sept 14th.</t>
  </si>
  <si>
    <t xml:space="preserve">Scope: only can/case products with a real order this week are included (kegs and zero-order products are left out — kegs don't need can labels).</t>
  </si>
  <si>
    <t xml:space="preserve">Correction from the first Sept 15 pull: three real orders were initially missed — Spartan (125 cases), Big Daddy IPA 12oz (60 cases), and Mystic Haze IPA 12oz (10 cases) — because the app names some products "...Cans)" (plural) and others "...Can)" (singular), and the first pass only matched the singular form. This version checks every product row and cross-validates the total against each distributor's own Order Value shown on the Inventory &amp; Allocation page (e.g. Markstein Cans 1, Matagrano Cans 1, and Valley Wide Cans 1 all now match the app's totals exactly), so nothing else should be missing.</t>
  </si>
  <si>
    <t xml:space="preserve">Cans per case: 19.2oz = 12 cans/case, 16oz = 24 cans/case, 12oz = 24 cans/case (FCB's own packaging recipe) — confirmed against the Label Inventory "Consumed" figures for every row.</t>
  </si>
  <si>
    <t xml:space="preserve">Labels are tracked one-per-can, per product (not per size) — "Labels On Hand" divided by cans/case gives how many cases of THAT product can actually be labeled right now.</t>
  </si>
  <si>
    <t xml:space="preserve">"Cases Usable" = the smaller of (cases ordered) and (cases coverable by labels on hand). Anything above that is "Cases Blocked" on the "Don't Have Labels For" tab.</t>
  </si>
  <si>
    <t xml:space="preserve">Value (on the first two tabs): case quantity × that distributor's price for that product, using the live Distributor Pricing grid, summed across every distributor that ordered it. Every distributor used in this week's can/case orders now prices identically per product (the Distributor Pricing fix + Valley Wide price-list repair from earlier this week), so every value is an exact case-count × price calculation — no proration or estimate.</t>
  </si>
  <si>
    <t xml:space="preserve">Label Cost to Buy (its own tab, added 2026-09-15): Chad's stated per-label purchase cost — $0.14/label for 19.2oz and 16oz, $0.12/label for 12oz — applied to the labels still needed for each blocked product. Kept on a separate tab from Beer Value on purpose, since the two numbers answer different questions (what it costs to unblock vs. what the beer is worth once shipped).</t>
  </si>
  <si>
    <t xml:space="preserve">Spartan (cases - 12oz - cans): ordered under SJSU specifically, at $40.00/case (125 × $40.00 = $5,000.00 beer value) — this is the one product priced under SJSU rather than a core distributor.</t>
  </si>
  <si>
    <t xml:space="preserve">Pallets: FCB's own finished-case pallet math — 7 layers/pallet; 19.2oz stacks 20 cases/layer (140 cases/pallet), 16oz and 12oz stack 10 cases/layer (70 cases/pallet). This is the app's shipping-pallet definition, not a can-supplier's blank-can pallet spec.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</si>
</sst>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.00;&quot;($&quot;#,##0.00\);\-"/>
    <numFmt numFmtId="167" formatCode="0.00"/>
    <numFmt numFmtId="168" formatCode="\$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F6E5"/>
        <bgColor rgb="FFFFF3CD"/>
      </patternFill>
    </fill>
    <fill>
      <patternFill patternType="solid">
        <fgColor rgb="FFFBE5E5"/>
        <bgColor rgb="FFFFF3CD"/>
      </patternFill>
    </fill>
    <fill>
      <patternFill patternType="solid">
        <fgColor rgb="FFFFF3CD"/>
        <bgColor rgb="FFFBE5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6E5"/>
      <rgbColor rgb="FFFFFF99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10</v>
      </c>
      <c r="D5" s="5" t="n">
        <v>10</v>
      </c>
      <c r="E5" s="5" t="n">
        <v>120</v>
      </c>
      <c r="F5" s="5" t="n">
        <v>786</v>
      </c>
      <c r="G5" s="6" t="n">
        <v>245</v>
      </c>
      <c r="H5" s="7" t="n">
        <v>0.07</v>
      </c>
    </row>
    <row r="6" customFormat="false" ht="15" hidden="false" customHeight="false" outlineLevel="0" collapsed="false">
      <c r="A6" s="4" t="s">
        <v>12</v>
      </c>
      <c r="B6" s="4" t="s">
        <v>13</v>
      </c>
      <c r="C6" s="5" t="n">
        <v>50</v>
      </c>
      <c r="D6" s="5" t="n">
        <v>5</v>
      </c>
      <c r="E6" s="5" t="n">
        <v>120</v>
      </c>
      <c r="F6" s="5" t="n">
        <v>140</v>
      </c>
      <c r="G6" s="6" t="n">
        <v>241.75</v>
      </c>
      <c r="H6" s="7" t="n">
        <v>0.07</v>
      </c>
    </row>
    <row r="7" customFormat="false" ht="15" hidden="false" customHeight="false" outlineLevel="0" collapsed="false">
      <c r="A7" s="4" t="s">
        <v>14</v>
      </c>
      <c r="B7" s="4" t="s">
        <v>11</v>
      </c>
      <c r="C7" s="5" t="n">
        <v>20</v>
      </c>
      <c r="D7" s="5" t="n">
        <v>16</v>
      </c>
      <c r="E7" s="5" t="n">
        <v>192</v>
      </c>
      <c r="F7" s="5" t="n">
        <v>199</v>
      </c>
      <c r="G7" s="6" t="n">
        <v>384</v>
      </c>
      <c r="H7" s="7" t="n">
        <v>0.11</v>
      </c>
    </row>
    <row r="8" customFormat="false" ht="15" hidden="false" customHeight="false" outlineLevel="0" collapsed="false">
      <c r="A8" s="4" t="s">
        <v>14</v>
      </c>
      <c r="B8" s="4" t="s">
        <v>15</v>
      </c>
      <c r="C8" s="5" t="n">
        <v>50</v>
      </c>
      <c r="D8" s="5" t="n">
        <v>50</v>
      </c>
      <c r="E8" s="5" t="n">
        <v>1200</v>
      </c>
      <c r="F8" s="5" t="n">
        <v>2811</v>
      </c>
      <c r="G8" s="6" t="n">
        <v>1309.5</v>
      </c>
      <c r="H8" s="7" t="n">
        <v>0.71</v>
      </c>
    </row>
    <row r="9" customFormat="false" ht="15" hidden="false" customHeight="false" outlineLevel="0" collapsed="false">
      <c r="A9" s="4" t="s">
        <v>16</v>
      </c>
      <c r="B9" s="4" t="s">
        <v>15</v>
      </c>
      <c r="C9" s="5" t="n">
        <v>10</v>
      </c>
      <c r="D9" s="5" t="n">
        <v>10</v>
      </c>
      <c r="E9" s="5" t="n">
        <v>240</v>
      </c>
      <c r="F9" s="5" t="n">
        <v>1400</v>
      </c>
      <c r="G9" s="6" t="n">
        <v>282.9</v>
      </c>
      <c r="H9" s="7" t="n">
        <v>0.14</v>
      </c>
    </row>
    <row r="10" customFormat="false" ht="15" hidden="false" customHeight="false" outlineLevel="0" collapsed="false">
      <c r="A10" s="8" t="s">
        <v>17</v>
      </c>
      <c r="B10" s="8"/>
      <c r="C10" s="8"/>
      <c r="D10" s="8"/>
      <c r="E10" s="9" t="n">
        <f aca="false">SUM(E5:E9)</f>
        <v>1872</v>
      </c>
      <c r="F10" s="8"/>
      <c r="G10" s="10" t="n">
        <f aca="false">SUM(G5:G9)</f>
        <v>2463.15</v>
      </c>
      <c r="H10" s="11" t="n">
        <f aca="false">SUM(H5:H9)</f>
        <v>1.1</v>
      </c>
    </row>
    <row r="12" customFormat="false" ht="30" hidden="false" customHeight="true" outlineLevel="0" collapsed="false">
      <c r="A12" s="12" t="s">
        <v>18</v>
      </c>
      <c r="B12" s="12"/>
      <c r="C12" s="12"/>
      <c r="D12" s="12"/>
      <c r="E12" s="12"/>
      <c r="F12" s="12"/>
      <c r="G12" s="12"/>
      <c r="H12" s="12"/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19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  <c r="F2" s="2"/>
      <c r="G2" s="2"/>
      <c r="H2" s="2"/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21</v>
      </c>
      <c r="E4" s="3" t="s">
        <v>22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13" t="s">
        <v>10</v>
      </c>
      <c r="B5" s="13" t="s">
        <v>13</v>
      </c>
      <c r="C5" s="14" t="n">
        <v>60</v>
      </c>
      <c r="D5" s="14" t="n">
        <v>60</v>
      </c>
      <c r="E5" s="14" t="n">
        <v>1440</v>
      </c>
      <c r="F5" s="14" t="n">
        <v>0</v>
      </c>
      <c r="G5" s="15" t="n">
        <v>2720.4</v>
      </c>
      <c r="H5" s="16" t="n">
        <v>0.86</v>
      </c>
    </row>
    <row r="6" customFormat="false" ht="15" hidden="false" customHeight="false" outlineLevel="0" collapsed="false">
      <c r="A6" s="13" t="s">
        <v>23</v>
      </c>
      <c r="B6" s="13" t="s">
        <v>13</v>
      </c>
      <c r="C6" s="14" t="n">
        <v>35</v>
      </c>
      <c r="D6" s="14" t="n">
        <v>35</v>
      </c>
      <c r="E6" s="14" t="n">
        <v>840</v>
      </c>
      <c r="F6" s="14" t="n">
        <v>0</v>
      </c>
      <c r="G6" s="15" t="n">
        <v>1586.9</v>
      </c>
      <c r="H6" s="16" t="n">
        <v>0.5</v>
      </c>
    </row>
    <row r="7" customFormat="false" ht="15" hidden="false" customHeight="false" outlineLevel="0" collapsed="false">
      <c r="A7" s="13" t="s">
        <v>12</v>
      </c>
      <c r="B7" s="13" t="s">
        <v>13</v>
      </c>
      <c r="C7" s="14" t="n">
        <v>50</v>
      </c>
      <c r="D7" s="14" t="n">
        <v>45</v>
      </c>
      <c r="E7" s="14" t="n">
        <v>1080</v>
      </c>
      <c r="F7" s="14" t="n">
        <v>140</v>
      </c>
      <c r="G7" s="15" t="n">
        <v>2175.75</v>
      </c>
      <c r="H7" s="16" t="n">
        <v>0.64</v>
      </c>
    </row>
    <row r="8" customFormat="false" ht="15" hidden="false" customHeight="false" outlineLevel="0" collapsed="false">
      <c r="A8" s="13" t="s">
        <v>14</v>
      </c>
      <c r="B8" s="13" t="s">
        <v>11</v>
      </c>
      <c r="C8" s="14" t="n">
        <v>20</v>
      </c>
      <c r="D8" s="14" t="n">
        <v>4</v>
      </c>
      <c r="E8" s="14" t="n">
        <v>48</v>
      </c>
      <c r="F8" s="14" t="n">
        <v>199</v>
      </c>
      <c r="G8" s="15" t="n">
        <v>96</v>
      </c>
      <c r="H8" s="16" t="n">
        <v>0.03</v>
      </c>
    </row>
    <row r="9" customFormat="false" ht="15" hidden="false" customHeight="false" outlineLevel="0" collapsed="false">
      <c r="A9" s="13" t="s">
        <v>24</v>
      </c>
      <c r="B9" s="13" t="s">
        <v>15</v>
      </c>
      <c r="C9" s="14" t="n">
        <v>125</v>
      </c>
      <c r="D9" s="14" t="n">
        <v>125</v>
      </c>
      <c r="E9" s="14" t="n">
        <v>3000</v>
      </c>
      <c r="F9" s="14" t="n">
        <v>0</v>
      </c>
      <c r="G9" s="15" t="n">
        <v>5000</v>
      </c>
      <c r="H9" s="16" t="n">
        <v>1.79</v>
      </c>
    </row>
    <row r="10" customFormat="false" ht="15" hidden="false" customHeight="false" outlineLevel="0" collapsed="false">
      <c r="A10" s="13" t="s">
        <v>25</v>
      </c>
      <c r="B10" s="13" t="s">
        <v>11</v>
      </c>
      <c r="C10" s="14" t="n">
        <v>100</v>
      </c>
      <c r="D10" s="14" t="n">
        <v>100</v>
      </c>
      <c r="E10" s="14" t="n">
        <v>1200</v>
      </c>
      <c r="F10" s="14" t="n">
        <v>0</v>
      </c>
      <c r="G10" s="15" t="n">
        <v>2450</v>
      </c>
      <c r="H10" s="16" t="n">
        <v>0.71</v>
      </c>
    </row>
    <row r="11" customFormat="false" ht="15" hidden="false" customHeight="false" outlineLevel="0" collapsed="false">
      <c r="A11" s="13" t="s">
        <v>25</v>
      </c>
      <c r="B11" s="13" t="s">
        <v>15</v>
      </c>
      <c r="C11" s="14" t="n">
        <v>60</v>
      </c>
      <c r="D11" s="14" t="n">
        <v>60</v>
      </c>
      <c r="E11" s="14" t="n">
        <v>1440</v>
      </c>
      <c r="F11" s="14" t="n">
        <v>0</v>
      </c>
      <c r="G11" s="15" t="n">
        <v>1695</v>
      </c>
      <c r="H11" s="16" t="n">
        <v>0.86</v>
      </c>
    </row>
    <row r="12" customFormat="false" ht="15" hidden="false" customHeight="false" outlineLevel="0" collapsed="false">
      <c r="A12" s="8" t="s">
        <v>17</v>
      </c>
      <c r="B12" s="8"/>
      <c r="C12" s="8"/>
      <c r="D12" s="8"/>
      <c r="E12" s="9" t="n">
        <f aca="false">SUM(E5:E11)</f>
        <v>9048</v>
      </c>
      <c r="F12" s="8"/>
      <c r="G12" s="10" t="n">
        <f aca="false">SUM(G5:G11)</f>
        <v>15724.05</v>
      </c>
      <c r="H12" s="11" t="n">
        <f aca="false">SUM(H5:H11)</f>
        <v>5.39</v>
      </c>
    </row>
    <row r="14" customFormat="false" ht="30" hidden="false" customHeight="true" outlineLevel="0" collapsed="false">
      <c r="A14" s="12" t="s">
        <v>26</v>
      </c>
      <c r="B14" s="12"/>
      <c r="C14" s="12"/>
      <c r="D14" s="12"/>
      <c r="E14" s="12"/>
      <c r="F14" s="12"/>
      <c r="G14" s="12"/>
      <c r="H14" s="12"/>
    </row>
  </sheetData>
  <mergeCells count="3">
    <mergeCell ref="A1:H1"/>
    <mergeCell ref="A2:H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27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29</v>
      </c>
      <c r="D4" s="3" t="s">
        <v>30</v>
      </c>
      <c r="E4" s="3" t="s">
        <v>31</v>
      </c>
    </row>
    <row r="5" customFormat="false" ht="15" hidden="false" customHeight="false" outlineLevel="0" collapsed="false">
      <c r="A5" s="17" t="s">
        <v>10</v>
      </c>
      <c r="B5" s="17" t="s">
        <v>13</v>
      </c>
      <c r="C5" s="18" t="n">
        <v>1440</v>
      </c>
      <c r="D5" s="19" t="n">
        <v>0.14</v>
      </c>
      <c r="E5" s="20" t="n">
        <f aca="false">C5*D5</f>
        <v>201.6</v>
      </c>
    </row>
    <row r="6" customFormat="false" ht="15" hidden="false" customHeight="false" outlineLevel="0" collapsed="false">
      <c r="A6" s="17" t="s">
        <v>23</v>
      </c>
      <c r="B6" s="17" t="s">
        <v>13</v>
      </c>
      <c r="C6" s="18" t="n">
        <v>840</v>
      </c>
      <c r="D6" s="19" t="n">
        <v>0.14</v>
      </c>
      <c r="E6" s="20" t="n">
        <f aca="false">C6*D6</f>
        <v>117.6</v>
      </c>
    </row>
    <row r="7" customFormat="false" ht="15" hidden="false" customHeight="false" outlineLevel="0" collapsed="false">
      <c r="A7" s="17" t="s">
        <v>12</v>
      </c>
      <c r="B7" s="17" t="s">
        <v>13</v>
      </c>
      <c r="C7" s="18" t="n">
        <v>1080</v>
      </c>
      <c r="D7" s="19" t="n">
        <v>0.14</v>
      </c>
      <c r="E7" s="20" t="n">
        <f aca="false">C7*D7</f>
        <v>151.2</v>
      </c>
    </row>
    <row r="8" customFormat="false" ht="15" hidden="false" customHeight="false" outlineLevel="0" collapsed="false">
      <c r="A8" s="17" t="s">
        <v>14</v>
      </c>
      <c r="B8" s="17" t="s">
        <v>11</v>
      </c>
      <c r="C8" s="18" t="n">
        <v>48</v>
      </c>
      <c r="D8" s="19" t="n">
        <v>0.14</v>
      </c>
      <c r="E8" s="20" t="n">
        <f aca="false">C8*D8</f>
        <v>6.72</v>
      </c>
    </row>
    <row r="9" customFormat="false" ht="15" hidden="false" customHeight="false" outlineLevel="0" collapsed="false">
      <c r="A9" s="17" t="s">
        <v>24</v>
      </c>
      <c r="B9" s="17" t="s">
        <v>15</v>
      </c>
      <c r="C9" s="18" t="n">
        <v>3000</v>
      </c>
      <c r="D9" s="19" t="n">
        <v>0.12</v>
      </c>
      <c r="E9" s="20" t="n">
        <f aca="false">C9*D9</f>
        <v>360</v>
      </c>
    </row>
    <row r="10" customFormat="false" ht="15" hidden="false" customHeight="false" outlineLevel="0" collapsed="false">
      <c r="A10" s="17" t="s">
        <v>25</v>
      </c>
      <c r="B10" s="17" t="s">
        <v>11</v>
      </c>
      <c r="C10" s="18" t="n">
        <v>1200</v>
      </c>
      <c r="D10" s="19" t="n">
        <v>0.14</v>
      </c>
      <c r="E10" s="20" t="n">
        <f aca="false">C10*D10</f>
        <v>168</v>
      </c>
    </row>
    <row r="11" customFormat="false" ht="15" hidden="false" customHeight="false" outlineLevel="0" collapsed="false">
      <c r="A11" s="17" t="s">
        <v>25</v>
      </c>
      <c r="B11" s="17" t="s">
        <v>15</v>
      </c>
      <c r="C11" s="18" t="n">
        <v>1440</v>
      </c>
      <c r="D11" s="19" t="n">
        <v>0.12</v>
      </c>
      <c r="E11" s="20" t="n">
        <f aca="false">C11*D11</f>
        <v>172.8</v>
      </c>
    </row>
    <row r="12" customFormat="false" ht="15" hidden="false" customHeight="false" outlineLevel="0" collapsed="false">
      <c r="A12" s="8" t="s">
        <v>17</v>
      </c>
      <c r="B12" s="8"/>
      <c r="C12" s="9" t="n">
        <f aca="false">SUM(C5:C11)</f>
        <v>9048</v>
      </c>
      <c r="D12" s="8"/>
      <c r="E12" s="10" t="n">
        <f aca="false">SUM(E5:E11)</f>
        <v>1177.92</v>
      </c>
    </row>
    <row r="14" customFormat="false" ht="39.75" hidden="false" customHeight="true" outlineLevel="0" collapsed="false">
      <c r="A14" s="12" t="s">
        <v>32</v>
      </c>
      <c r="B14" s="12"/>
      <c r="C14" s="12"/>
      <c r="D14" s="12"/>
      <c r="E14" s="12"/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21" t="s">
        <v>33</v>
      </c>
    </row>
    <row r="2" customFormat="false" ht="7.5" hidden="false" customHeight="true" outlineLevel="0" collapsed="false">
      <c r="A2" s="22"/>
    </row>
    <row r="3" customFormat="false" ht="27.75" hidden="false" customHeight="true" outlineLevel="0" collapsed="false">
      <c r="A3" s="22" t="s">
        <v>34</v>
      </c>
    </row>
    <row r="4" customFormat="false" ht="7.5" hidden="false" customHeight="true" outlineLevel="0" collapsed="false">
      <c r="A4" s="22"/>
    </row>
    <row r="5" customFormat="false" ht="27.75" hidden="false" customHeight="true" outlineLevel="0" collapsed="false">
      <c r="A5" s="22" t="s">
        <v>35</v>
      </c>
    </row>
    <row r="6" customFormat="false" ht="7.5" hidden="false" customHeight="true" outlineLevel="0" collapsed="false">
      <c r="A6" s="22"/>
    </row>
    <row r="7" customFormat="false" ht="27.75" hidden="false" customHeight="true" outlineLevel="0" collapsed="false">
      <c r="A7" s="22" t="s">
        <v>36</v>
      </c>
    </row>
    <row r="8" customFormat="false" ht="7.5" hidden="false" customHeight="true" outlineLevel="0" collapsed="false">
      <c r="A8" s="22"/>
    </row>
    <row r="9" customFormat="false" ht="27.75" hidden="false" customHeight="true" outlineLevel="0" collapsed="false">
      <c r="A9" s="22" t="s">
        <v>37</v>
      </c>
    </row>
    <row r="10" customFormat="false" ht="7.5" hidden="false" customHeight="true" outlineLevel="0" collapsed="false">
      <c r="A10" s="22"/>
    </row>
    <row r="11" customFormat="false" ht="27.75" hidden="false" customHeight="true" outlineLevel="0" collapsed="false">
      <c r="A11" s="22" t="s">
        <v>38</v>
      </c>
    </row>
    <row r="12" customFormat="false" ht="7.5" hidden="false" customHeight="true" outlineLevel="0" collapsed="false">
      <c r="A12" s="22"/>
    </row>
    <row r="13" customFormat="false" ht="27.75" hidden="false" customHeight="true" outlineLevel="0" collapsed="false">
      <c r="A13" s="22" t="s">
        <v>39</v>
      </c>
    </row>
    <row r="14" customFormat="false" ht="7.5" hidden="false" customHeight="true" outlineLevel="0" collapsed="false">
      <c r="A14" s="22"/>
    </row>
    <row r="15" customFormat="false" ht="27.75" hidden="false" customHeight="true" outlineLevel="0" collapsed="false">
      <c r="A15" s="22" t="s">
        <v>40</v>
      </c>
    </row>
    <row r="16" customFormat="false" ht="7.5" hidden="false" customHeight="true" outlineLevel="0" collapsed="false">
      <c r="A16" s="22"/>
    </row>
    <row r="17" customFormat="false" ht="27.75" hidden="false" customHeight="true" outlineLevel="0" collapsed="false">
      <c r="A17" s="22" t="s">
        <v>41</v>
      </c>
    </row>
    <row r="18" customFormat="false" ht="7.5" hidden="false" customHeight="true" outlineLevel="0" collapsed="false">
      <c r="A18" s="22"/>
    </row>
    <row r="19" customFormat="false" ht="27.75" hidden="false" customHeight="true" outlineLevel="0" collapsed="false">
      <c r="A19" s="22" t="s">
        <v>42</v>
      </c>
    </row>
    <row r="20" customFormat="false" ht="7.5" hidden="false" customHeight="true" outlineLevel="0" collapsed="false">
      <c r="A20" s="22"/>
    </row>
    <row r="21" customFormat="false" ht="27.75" hidden="false" customHeight="true" outlineLevel="0" collapsed="false">
      <c r="A21" s="2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2026-09-15T16:45:22Z</dcterms:created>
  <dc:creator>openpyxl</dc:creator>
  <dc:description/>
  <dc:language>en-US</dc:language>
  <cp:lastModifiedBy/>
  <dcterms:modified xsi:type="dcterms:W3CDTF">2026-09-15T16:45:22Z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