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" sheetId="1" state="visible" r:id="rId3"/>
    <sheet name="CM Reference" sheetId="2" state="visible" r:id="rId4"/>
    <sheet name="Ekos Matched" sheetId="3" state="visible" r:id="rId5"/>
    <sheet name="Weighted CM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Total Batch Cost = Package Cost + Ingredient Cost + Shipping. Labor cost and excise tax are excluded entirely per instruction (not present anywhere in this workbook).</t>
        </r>
      </text>
    </comment>
    <comment ref="K1" authorId="0">
      <text>
        <r>
          <rPr>
            <sz val="10"/>
            <rFont val="Arial"/>
            <family val="2"/>
          </rPr>
          <t xml:space="preserve">Total Cost per CE = Total Batch Cost / 344.5 case-equivalents per batch (TOTAL_CES_PER_BATCH constant from the app's lib/contributionMargin.ts).</t>
        </r>
      </text>
    </comment>
  </commentList>
</comments>
</file>

<file path=xl/sharedStrings.xml><?xml version="1.0" encoding="utf-8"?>
<sst xmlns="http://schemas.openxmlformats.org/spreadsheetml/2006/main" count="539" uniqueCount="167">
  <si>
    <t xml:space="preserve">Units Sold vs. Contribution Margin — Weighted CM Analysis</t>
  </si>
  <si>
    <t xml:space="preserve">Prepared for Full Circle Brewing / FCB Brands — one-time spreadsheet analysis</t>
  </si>
  <si>
    <t xml:space="preserve">TASK (as given):</t>
  </si>
  <si>
    <t xml:space="preserve">  "Export from ekos a report that shows units sold, for the last two years, by products, then be able to</t>
  </si>
  <si>
    <t xml:space="preserve">  compare it to our margins, and get a weighted CM. Remove excise tax, add to the bottom."</t>
  </si>
  <si>
    <t xml:space="preserve">  Updated per follow-up: only the products priced on the Contribution Margin page are kept; labor cost</t>
  </si>
  <si>
    <t xml:space="preserve">  and excise tax are both fully excluded from every cost figure (not just shown side-by-side); refreshed</t>
  </si>
  <si>
    <t xml:space="preserve">  again with a current Ekos export so the window is the actual last two years as of today, not 2023-2024.</t>
  </si>
  <si>
    <t xml:space="preserve">SOURCE DATA</t>
  </si>
  <si>
    <t xml:space="preserve">  - Ekos units-sold export: uploaded file "Export_09092026075110_.xls" — a summary report Ekos itself</t>
  </si>
  <si>
    <t xml:space="preserve">    filtered to [Invoice].Delivery Date BETWEEN 09/09/2024 and 09/09/2026 (i.e. the last two years as of</t>
  </si>
  <si>
    <t xml:space="preserve">    the date this was built), excluding Item Class = Item Deposits. One row per item, already totaled</t>
  </si>
  <si>
    <t xml:space="preserve">    across that window (96 item rows, not invoice-line-level detail).</t>
  </si>
  <si>
    <t xml:space="preserve">  - Contribution Margin figures: pulled live from the FCB-Data app's Sales &gt; Contribution Margin</t>
  </si>
  <si>
    <t xml:space="preserve">    page (fcb-data.com) on the date this analysis was built.</t>
  </si>
  <si>
    <t xml:space="preserve">SCOPE</t>
  </si>
  <si>
    <t xml:space="preserve">  - Only brand+package combinations that are (a) priced on the Contribution Margin page AND</t>
  </si>
  <si>
    <t xml:space="preserve">    (b) actually sold in Ekos during 09/09/2024..09/09/2026 are included: 38 of the</t>
  </si>
  <si>
    <t xml:space="preserve">    41 combinations on the CM page. Everything else — Ekos products with no CM</t>
  </si>
  <si>
    <t xml:space="preserve">    entry, and CM entries with no matching sales in the window — has been removed from this workbook.</t>
  </si>
  <si>
    <t xml:space="preserve">  - 3 CM combinations had zero matching sales in this window and so are absent entirely: Sonoma Cider</t>
  </si>
  <si>
    <t xml:space="preserve">    Pitchfork (Single 19.2oz), Sonoma Cider Hatchet (Single 19.2oz), Speakeasy Prohibition (Single 19.2oz).</t>
  </si>
  <si>
    <t xml:space="preserve">CASE-EQUIVALENT (CE) WEIGHTING</t>
  </si>
  <si>
    <t xml:space="preserve">  - This export is a pre-aggregated summary report and does NOT include Ekos' own per-line</t>
  </si>
  <si>
    <t xml:space="preserve">    'CaseEquivalentUnits' figure (unlike the invoice-detail export used in an earlier pass of this</t>
  </si>
  <si>
    <t xml:space="preserve">    analysis). CE here is instead derived from the app's own package-yield constants: CE per unit sold</t>
  </si>
  <si>
    <t xml:space="preserve">    = 344.5 (total case-equivalents per batch) / that package's batch yield in units — 258 for 4pk 16oz,</t>
  </si>
  <si>
    <t xml:space="preserve">    344 for 6pk 12oz, 431 for Single 19.2oz, 50 for a 1/2 bbl keg, 150 for a 1/6 bbl keg (same constants</t>
  </si>
  <si>
    <t xml:space="preserve">    as lib/costPerCase.ts's OVERVIEW_PACKAGE_YIELDS and lib/contributionMargin.ts's TOTAL_CES_PER_BATCH).</t>
  </si>
  <si>
    <t xml:space="preserve">    This still correctly normalizes cans vs. kegs vs. different case-pack sizes to one common volume</t>
  </si>
  <si>
    <t xml:space="preserve">    unit — it's just derived from the app's constants rather than read directly off an Ekos column.</t>
  </si>
  <si>
    <t xml:space="preserve">  - Weighted CM per CE = SUM(CE sold x CM per CE) / SUM(CE sold), across every included line.</t>
  </si>
  <si>
    <t xml:space="preserve">BRAND / PRODUCT MATCHING (Ekos item name -&gt; Contribution Margin brand+package)</t>
  </si>
  <si>
    <t xml:space="preserve">  - Matched by brand-name prefix + package-format keywords in the Ekos 'ItemName' field (see the</t>
  </si>
  <si>
    <t xml:space="preserve">    'Ekos Matched' tab for the exact Ekos item name(s) rolled into each row — review this list).</t>
  </si>
  <si>
    <t xml:space="preserve">  - Explicitly excluded regardless of brand match: any line marked '**DO NOT USE**' in Ekos (a</t>
  </si>
  <si>
    <t xml:space="preserve">    Mystic Haze 24-can case flagged bad data in Ekos itself), any '24x' double-size case-pack line</t>
  </si>
  <si>
    <t xml:space="preserve">    (doesn't correspond to any standard package size priced on the CM page), and the one-off</t>
  </si>
  <si>
    <t xml:space="preserve">    'Juicy NE IPA (12oz 12pk Box)' nonstandard pack.</t>
  </si>
  <si>
    <t xml:space="preserve">LABOR COST AND EXCISE TAX — FULLY REMOVED</t>
  </si>
  <si>
    <t xml:space="preserve">  - Per your instruction, labor cost and excise tax are excluded everywhere, not just netted out of</t>
  </si>
  <si>
    <t xml:space="preserve">    one column: Total Batch Cost = Package Cost + Ingredient Cost + Shipping only. Every cost-per-CE,</t>
  </si>
  <si>
    <t xml:space="preserve">    CM, and margin % figure in this workbook is computed on that basis.</t>
  </si>
  <si>
    <t xml:space="preserve">  - Excise is a fixed $291.00/batch federal excise constant in the app, the same for every brand and</t>
  </si>
  <si>
    <t xml:space="preserve">    package. Labor cost varies by package (can line labor vs. keg labor).</t>
  </si>
  <si>
    <t xml:space="preserve">CAVEATS</t>
  </si>
  <si>
    <t xml:space="preserve">  - This is a one-time snapshot, not a live app feature — Contribution Margin inputs (ingredient/</t>
  </si>
  <si>
    <t xml:space="preserve">    packaging costs, recipe assignments) can change in the app after this was pulled; re-pull the</t>
  </si>
  <si>
    <t xml:space="preserve">    'CM Reference' tab data if you need this refreshed later.</t>
  </si>
  <si>
    <t xml:space="preserve">  - Ekos brand/package matching used fuzzy text matching against item names as exported — please</t>
  </si>
  <si>
    <t xml:space="preserve">    review the 'Ekos Matched' tab to confirm nothing was mis-matched before relying on the totals.</t>
  </si>
  <si>
    <t xml:space="preserve">Key</t>
  </si>
  <si>
    <t xml:space="preserve">Company</t>
  </si>
  <si>
    <t xml:space="preserve">Brand</t>
  </si>
  <si>
    <t xml:space="preserve">Package</t>
  </si>
  <si>
    <t xml:space="preserve">Yield (units/batch)</t>
  </si>
  <si>
    <t xml:space="preserve">Pkg Cost ($)</t>
  </si>
  <si>
    <t xml:space="preserve">Ing Cost ($)</t>
  </si>
  <si>
    <t xml:space="preserve">Shipping ($)</t>
  </si>
  <si>
    <t xml:space="preserve">Revenue per CE ($)</t>
  </si>
  <si>
    <t xml:space="preserve">Total Batch Cost ($)</t>
  </si>
  <si>
    <t xml:space="preserve">Total Cost per CE ($)</t>
  </si>
  <si>
    <t xml:space="preserve">CM per CE ($)</t>
  </si>
  <si>
    <t xml:space="preserve">Margin %</t>
  </si>
  <si>
    <t xml:space="preserve">Full Circle Brewing||Capt Hazy||4pack</t>
  </si>
  <si>
    <t xml:space="preserve">Full Circle Brewing</t>
  </si>
  <si>
    <t xml:space="preserve">Capt Hazy</t>
  </si>
  <si>
    <t xml:space="preserve">4pk 16oz</t>
  </si>
  <si>
    <t xml:space="preserve">Full Circle Brewing||Capt Hazy||half</t>
  </si>
  <si>
    <t xml:space="preserve">1/2 bbl (Keg)</t>
  </si>
  <si>
    <t xml:space="preserve">Full Circle Brewing||Capt Hazy||single</t>
  </si>
  <si>
    <t xml:space="preserve">Single 19.2oz</t>
  </si>
  <si>
    <t xml:space="preserve">Full Circle Brewing||Capt Hazy||sixth</t>
  </si>
  <si>
    <t xml:space="preserve">1/6 bbl (Keg)</t>
  </si>
  <si>
    <t xml:space="preserve">Full Circle Brewing||Capt WC IPA||4pack</t>
  </si>
  <si>
    <t xml:space="preserve">Capt WC IPA</t>
  </si>
  <si>
    <t xml:space="preserve">Full Circle Brewing||Capt WC IPA||half</t>
  </si>
  <si>
    <t xml:space="preserve">Full Circle Brewing||Capt WC IPA||single</t>
  </si>
  <si>
    <t xml:space="preserve">Full Circle Brewing||Capt WC IPA||sixth</t>
  </si>
  <si>
    <t xml:space="preserve">Full Circle Brewing||Peachy Vibes||6pk</t>
  </si>
  <si>
    <t xml:space="preserve">Peachy Vibes</t>
  </si>
  <si>
    <t xml:space="preserve">6pk 12oz</t>
  </si>
  <si>
    <t xml:space="preserve">Full Circle Brewing||Peachy Vibes||half</t>
  </si>
  <si>
    <t xml:space="preserve">Full Circle Brewing||Peachy Vibes||single</t>
  </si>
  <si>
    <t xml:space="preserve">Full Circle Brewing||Peachy Vibes||sixth</t>
  </si>
  <si>
    <t xml:space="preserve">Full Circle Brewing||Nectarine||4pack</t>
  </si>
  <si>
    <t xml:space="preserve">Nectarine</t>
  </si>
  <si>
    <t xml:space="preserve">Full Circle Brewing||Nectarine||half</t>
  </si>
  <si>
    <t xml:space="preserve">Full Circle Brewing||Nectarine||sixth</t>
  </si>
  <si>
    <t xml:space="preserve">Full Circle Brewing||Juicy||4pack</t>
  </si>
  <si>
    <t xml:space="preserve">Juicy</t>
  </si>
  <si>
    <t xml:space="preserve">Full Circle Brewing||Juicy||half</t>
  </si>
  <si>
    <t xml:space="preserve">Full Circle Brewing||Juicy||single</t>
  </si>
  <si>
    <t xml:space="preserve">Full Circle Brewing||Juicy||sixth</t>
  </si>
  <si>
    <t xml:space="preserve">Speakeasy Ales &amp; Lagers||Big Daddy||4pack</t>
  </si>
  <si>
    <t xml:space="preserve">Speakeasy Ales &amp; Lagers</t>
  </si>
  <si>
    <t xml:space="preserve">Big Daddy</t>
  </si>
  <si>
    <t xml:space="preserve">Speakeasy Ales &amp; Lagers||Big Daddy||6pk</t>
  </si>
  <si>
    <t xml:space="preserve">Speakeasy Ales &amp; Lagers||Big Daddy||half</t>
  </si>
  <si>
    <t xml:space="preserve">Speakeasy Ales &amp; Lagers||Big Daddy||single</t>
  </si>
  <si>
    <t xml:space="preserve">Speakeasy Ales &amp; Lagers||Big Daddy||sixth</t>
  </si>
  <si>
    <t xml:space="preserve">Speakeasy Ales &amp; Lagers||Prohibition||6pk</t>
  </si>
  <si>
    <t xml:space="preserve">Prohibition</t>
  </si>
  <si>
    <t xml:space="preserve">Speakeasy Ales &amp; Lagers||Prohibition||half</t>
  </si>
  <si>
    <t xml:space="preserve">Speakeasy Ales &amp; Lagers||Prohibition||sixth</t>
  </si>
  <si>
    <t xml:space="preserve">Speakeasy Ales &amp; Lagers||Mystic Haze||4pack</t>
  </si>
  <si>
    <t xml:space="preserve">Mystic Haze</t>
  </si>
  <si>
    <t xml:space="preserve">Speakeasy Ales &amp; Lagers||Mystic Haze||6pk</t>
  </si>
  <si>
    <t xml:space="preserve">Speakeasy Ales &amp; Lagers||Mystic Haze||half</t>
  </si>
  <si>
    <t xml:space="preserve">Speakeasy Ales &amp; Lagers||Mystic Haze||single</t>
  </si>
  <si>
    <t xml:space="preserve">Speakeasy Ales &amp; Lagers||Mystic Haze||sixth</t>
  </si>
  <si>
    <t xml:space="preserve">Sonoma Cider||The Pitchfork||4pack</t>
  </si>
  <si>
    <t xml:space="preserve">Sonoma Cider</t>
  </si>
  <si>
    <t xml:space="preserve">The Pitchfork</t>
  </si>
  <si>
    <t xml:space="preserve">Sonoma Cider||The Pitchfork||half</t>
  </si>
  <si>
    <t xml:space="preserve">Sonoma Cider||The Pitchfork||sixth</t>
  </si>
  <si>
    <t xml:space="preserve">Sonoma Cider||The Hatchet||4pack</t>
  </si>
  <si>
    <t xml:space="preserve">The Hatchet</t>
  </si>
  <si>
    <t xml:space="preserve">Sonoma Cider||The Hatchet||half</t>
  </si>
  <si>
    <t xml:space="preserve">Sonoma Cider||The Hatchet||sixth</t>
  </si>
  <si>
    <t xml:space="preserve">CE Sold (2-yr)</t>
  </si>
  <si>
    <t xml:space="preserve">Qty Sold (2-yr, raw Ekos units)</t>
  </si>
  <si>
    <t xml:space="preserve"># Ekos Rows Combined</t>
  </si>
  <si>
    <t xml:space="preserve">Ekos Item Name(s) Matched</t>
  </si>
  <si>
    <t xml:space="preserve">Capt. Save A Hop HAZY IPA (Case - 6x4 - 16oz - Can)</t>
  </si>
  <si>
    <t xml:space="preserve">Capt. Save A Hop HAZY IPA (Keg - 1/2 bbl)</t>
  </si>
  <si>
    <t xml:space="preserve">Capt. Save A Hop HAZY IPA (Case - 12x - 19.2oz - Can)</t>
  </si>
  <si>
    <t xml:space="preserve">Capt. Save A Hop HAZY IPA (Keg - 1/6 bbl)</t>
  </si>
  <si>
    <t xml:space="preserve">Capt. Save A Hop WC IPA (Case - 6x4 - 16oz - Can)</t>
  </si>
  <si>
    <t xml:space="preserve">Capt. Save A Hop WC IPA (Keg - 1/2 bbl)</t>
  </si>
  <si>
    <t xml:space="preserve">Capt. Save A Hop WC IPA (Case - 12x - 19.2oz - Can)</t>
  </si>
  <si>
    <t xml:space="preserve">Capt. Save A Hop WC IPA (Keg - 1/6 bbl)</t>
  </si>
  <si>
    <t xml:space="preserve">Peachy Vibes (Case - 4x6 - 12oz - Can)</t>
  </si>
  <si>
    <t xml:space="preserve">Peachy Vibes (Keg - 1/2 bbl)</t>
  </si>
  <si>
    <t xml:space="preserve">Peachy Vibes (Case - 12x - 19.2oz - Can)</t>
  </si>
  <si>
    <t xml:space="preserve">Peachy Vibes (Keg - 1/6 bbl)</t>
  </si>
  <si>
    <t xml:space="preserve">Nectarine Pie of the Tiger Sour (Case-6x4-16oz-Can)</t>
  </si>
  <si>
    <t xml:space="preserve">Nectarine Pie of the Tiger Sour (Keg - 1/2 bbl)</t>
  </si>
  <si>
    <t xml:space="preserve">Nectarine Pie of the Tiger Sour (Keg - 1/6 bbl)</t>
  </si>
  <si>
    <t xml:space="preserve">Juicy NE IPA (Case - 6x4 - 16oz - Can)</t>
  </si>
  <si>
    <t xml:space="preserve">Juicy NE IPA (Keg - 1/2 bbl)</t>
  </si>
  <si>
    <t xml:space="preserve">Juicy NE IPA (Case - 12x - 19.2oz - Can)</t>
  </si>
  <si>
    <t xml:space="preserve">Juicy NE IPA (Keg - 1/6 bbl)</t>
  </si>
  <si>
    <t xml:space="preserve">Big Daddy IPA (Case - 6x4 - 16oz - Can)</t>
  </si>
  <si>
    <t xml:space="preserve">Big Daddy IPA (Case - 4x6 - 12oz - Can)</t>
  </si>
  <si>
    <t xml:space="preserve">Big Daddy IPA (Keg - 1/2 bbl)</t>
  </si>
  <si>
    <t xml:space="preserve">Big Daddy IPA (Case - 12x - 19.2oz - Can)</t>
  </si>
  <si>
    <t xml:space="preserve">Big Daddy IPA (Keg - 1/6 bbl)</t>
  </si>
  <si>
    <t xml:space="preserve">Prohibition Red Ale (Case - 4x6 - 12oz - Can)</t>
  </si>
  <si>
    <t xml:space="preserve">Prohibition Red Ale (Keg - 1/2 bbl)</t>
  </si>
  <si>
    <t xml:space="preserve">Prohibition Red Ale (Keg - 1/6 bbl)</t>
  </si>
  <si>
    <t xml:space="preserve">Mystic Haze IPA (Case 6x4 - 16 oz Cans)</t>
  </si>
  <si>
    <t xml:space="preserve">Mystic Haze IPA (Case - 4x6 - 12oz - Can)</t>
  </si>
  <si>
    <t xml:space="preserve">Mystic Haze IPA (Keg - 1/2 bbl)</t>
  </si>
  <si>
    <t xml:space="preserve">Mystic Haze IPA (Case - 12x - 19.2oz - Can)</t>
  </si>
  <si>
    <t xml:space="preserve">Mystic Haze IPA (Keg - 1/6 bbl)</t>
  </si>
  <si>
    <t xml:space="preserve">The Pitchfork - Pear Cider (Case 6x4 - 16 oz Cans)</t>
  </si>
  <si>
    <t xml:space="preserve">The Pitchfork - Pear Cider (Keg - 1/2 bbl)</t>
  </si>
  <si>
    <t xml:space="preserve">The Pitchfork - Pear Cider (Keg - 1/6 bbl)</t>
  </si>
  <si>
    <t xml:space="preserve">The Hatchet - Apple Cider (Case 6x4 - 16 oz Cans)</t>
  </si>
  <si>
    <t xml:space="preserve">The Hatchet - Apple Cider (Keg - 1/2 bbl)</t>
  </si>
  <si>
    <t xml:space="preserve">The Hatchet - Apple Cider (Keg - 1/6 bbl)</t>
  </si>
  <si>
    <t xml:space="preserve">Weighted CM $</t>
  </si>
  <si>
    <t xml:space="preserve">Weighted Revenue $</t>
  </si>
  <si>
    <t xml:space="preserve">TOTAL / WEIGHTED AVERAGE</t>
  </si>
  <si>
    <t xml:space="preserve">Blended margin %</t>
  </si>
  <si>
    <t xml:space="preserve">CE Sold pulled from 'Ekos Matched' (Ekos Delivery Date 09/09/2024..09/09/2026). CM per CE pulled from 'CM Reference' (labor cost and excise tax excluded from every cost figure). Weighted CM $ = CE Sold x CM per CE for each row; the TOTAL row's weighted-average CM per CE is SUM(Weighted CM $) / SUM(CE Sold) across all rows — i.e. volume-weighted, not a simple average of the per-row CM figures.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</si>
</sst>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.00"/>
    <numFmt numFmtId="168" formatCode="#,##0"/>
    <numFmt numFmtId="169" formatCode="\$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F0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double"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F0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6" customFormat="false" ht="15" hidden="false" customHeight="false" outlineLevel="0" collapsed="false">
      <c r="A36" s="3" t="s">
        <v>30</v>
      </c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3"/>
    </row>
    <row r="39" customFormat="false" ht="15" hidden="false" customHeight="false" outlineLevel="0" collapsed="false">
      <c r="A39" s="3" t="s">
        <v>32</v>
      </c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3" t="s">
        <v>34</v>
      </c>
    </row>
    <row r="42" customFormat="false" ht="15" hidden="false" customHeight="false" outlineLevel="0" collapsed="false">
      <c r="A42" s="3" t="s">
        <v>35</v>
      </c>
    </row>
    <row r="43" customFormat="false" ht="15" hidden="false" customHeight="false" outlineLevel="0" collapsed="false">
      <c r="A43" s="3" t="s">
        <v>36</v>
      </c>
    </row>
    <row r="44" customFormat="false" ht="15" hidden="false" customHeight="false" outlineLevel="0" collapsed="false">
      <c r="A44" s="3" t="s">
        <v>37</v>
      </c>
    </row>
    <row r="45" customFormat="false" ht="15" hidden="false" customHeight="false" outlineLevel="0" collapsed="false">
      <c r="A45" s="3" t="s">
        <v>38</v>
      </c>
    </row>
    <row r="46" customFormat="false" ht="15" hidden="false" customHeight="false" outlineLevel="0" collapsed="false">
      <c r="A46" s="3"/>
    </row>
    <row r="47" customFormat="false" ht="15" hidden="false" customHeight="false" outlineLevel="0" collapsed="false">
      <c r="A47" s="4" t="s">
        <v>39</v>
      </c>
    </row>
    <row r="48" customFormat="false" ht="15" hidden="false" customHeight="false" outlineLevel="0" collapsed="false">
      <c r="A48" s="3" t="s">
        <v>40</v>
      </c>
    </row>
    <row r="49" customFormat="false" ht="15" hidden="false" customHeight="false" outlineLevel="0" collapsed="false">
      <c r="A49" s="3" t="s">
        <v>41</v>
      </c>
    </row>
    <row r="50" customFormat="false" ht="15" hidden="false" customHeight="false" outlineLevel="0" collapsed="false">
      <c r="A50" s="3" t="s">
        <v>42</v>
      </c>
    </row>
    <row r="51" customFormat="false" ht="15" hidden="false" customHeight="false" outlineLevel="0" collapsed="false">
      <c r="A51" s="3" t="s">
        <v>43</v>
      </c>
    </row>
    <row r="52" customFormat="false" ht="15" hidden="false" customHeight="false" outlineLevel="0" collapsed="false">
      <c r="A52" s="3" t="s">
        <v>44</v>
      </c>
    </row>
    <row r="53" customFormat="false" ht="15" hidden="false" customHeight="false" outlineLevel="0" collapsed="false">
      <c r="A53" s="3"/>
    </row>
    <row r="54" customFormat="false" ht="15" hidden="false" customHeight="false" outlineLevel="0" collapsed="false">
      <c r="A54" s="4" t="s">
        <v>45</v>
      </c>
    </row>
    <row r="55" customFormat="false" ht="15" hidden="false" customHeight="false" outlineLevel="0" collapsed="false">
      <c r="A55" s="3" t="s">
        <v>46</v>
      </c>
    </row>
    <row r="56" customFormat="false" ht="15" hidden="false" customHeight="false" outlineLevel="0" collapsed="false">
      <c r="A56" s="3" t="s">
        <v>47</v>
      </c>
    </row>
    <row r="57" customFormat="false" ht="15" hidden="false" customHeight="false" outlineLevel="0" collapsed="false">
      <c r="A57" s="3" t="s">
        <v>48</v>
      </c>
    </row>
    <row r="58" customFormat="false" ht="15" hidden="false" customHeight="false" outlineLevel="0" collapsed="false">
      <c r="A58" s="3" t="s">
        <v>49</v>
      </c>
    </row>
    <row r="59" customFormat="false" ht="15" hidden="false" customHeight="false" outlineLevel="0" collapsed="false">
      <c r="A59" s="3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1" min="10" style="0" width="16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9.55" hidden="false" customHeight="fals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61</v>
      </c>
      <c r="L1" s="5" t="s">
        <v>62</v>
      </c>
      <c r="M1" s="5" t="s">
        <v>63</v>
      </c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66</v>
      </c>
      <c r="D2" s="6" t="s">
        <v>67</v>
      </c>
      <c r="E2" s="6" t="n">
        <v>258</v>
      </c>
      <c r="F2" s="7" t="n">
        <v>2871.54</v>
      </c>
      <c r="G2" s="7" t="n">
        <v>3143.96</v>
      </c>
      <c r="H2" s="7" t="n">
        <v>0</v>
      </c>
      <c r="I2" s="7" t="n">
        <v>33.99</v>
      </c>
      <c r="J2" s="8" t="n">
        <f aca="false">F2+G2+H2</f>
        <v>6015.5</v>
      </c>
      <c r="K2" s="8" t="n">
        <f aca="false">J2/344.5</f>
        <v>17.4615384615385</v>
      </c>
      <c r="L2" s="8" t="n">
        <f aca="false">I2-K2</f>
        <v>16.5284615384615</v>
      </c>
      <c r="M2" s="9" t="n">
        <f aca="false">IFERROR(L2/I2,0)</f>
        <v>0.486274243555797</v>
      </c>
    </row>
    <row r="3" customFormat="false" ht="15" hidden="false" customHeight="false" outlineLevel="0" collapsed="false">
      <c r="A3" s="6" t="s">
        <v>68</v>
      </c>
      <c r="B3" s="6" t="s">
        <v>65</v>
      </c>
      <c r="C3" s="6" t="s">
        <v>66</v>
      </c>
      <c r="D3" s="6" t="s">
        <v>69</v>
      </c>
      <c r="E3" s="6" t="n">
        <v>50</v>
      </c>
      <c r="F3" s="7" t="n">
        <v>0</v>
      </c>
      <c r="G3" s="7" t="n">
        <v>3143.96</v>
      </c>
      <c r="H3" s="7" t="n">
        <v>0</v>
      </c>
      <c r="I3" s="7" t="n">
        <v>20.75</v>
      </c>
      <c r="J3" s="8" t="n">
        <f aca="false">F3+G3+H3</f>
        <v>3143.96</v>
      </c>
      <c r="K3" s="8" t="n">
        <f aca="false">J3/344.5</f>
        <v>9.12615384615385</v>
      </c>
      <c r="L3" s="8" t="n">
        <f aca="false">I3-K3</f>
        <v>11.6238461538462</v>
      </c>
      <c r="M3" s="9" t="n">
        <f aca="false">IFERROR(L3/I3,0)</f>
        <v>0.560185356811863</v>
      </c>
    </row>
    <row r="4" customFormat="false" ht="15" hidden="false" customHeight="false" outlineLevel="0" collapsed="false">
      <c r="A4" s="6" t="s">
        <v>70</v>
      </c>
      <c r="B4" s="6" t="s">
        <v>65</v>
      </c>
      <c r="C4" s="6" t="s">
        <v>66</v>
      </c>
      <c r="D4" s="6" t="s">
        <v>71</v>
      </c>
      <c r="E4" s="6" t="n">
        <v>431</v>
      </c>
      <c r="F4" s="7" t="n">
        <v>2573.07</v>
      </c>
      <c r="G4" s="7" t="n">
        <v>3143.96</v>
      </c>
      <c r="H4" s="7" t="n">
        <v>0</v>
      </c>
      <c r="I4" s="7" t="n">
        <v>30.62</v>
      </c>
      <c r="J4" s="8" t="n">
        <f aca="false">F4+G4+H4</f>
        <v>5717.03</v>
      </c>
      <c r="K4" s="8" t="n">
        <f aca="false">J4/344.5</f>
        <v>16.595152394775</v>
      </c>
      <c r="L4" s="8" t="n">
        <f aca="false">I4-K4</f>
        <v>14.024847605225</v>
      </c>
      <c r="M4" s="9" t="n">
        <f aca="false">IFERROR(L4/I4,0)</f>
        <v>0.45802898776045</v>
      </c>
    </row>
    <row r="5" customFormat="false" ht="15" hidden="false" customHeight="false" outlineLevel="0" collapsed="false">
      <c r="A5" s="6" t="s">
        <v>72</v>
      </c>
      <c r="B5" s="6" t="s">
        <v>65</v>
      </c>
      <c r="C5" s="6" t="s">
        <v>66</v>
      </c>
      <c r="D5" s="6" t="s">
        <v>73</v>
      </c>
      <c r="E5" s="6" t="n">
        <v>150</v>
      </c>
      <c r="F5" s="7" t="n">
        <v>0</v>
      </c>
      <c r="G5" s="7" t="n">
        <v>3143.96</v>
      </c>
      <c r="H5" s="7" t="n">
        <v>0</v>
      </c>
      <c r="I5" s="7" t="n">
        <v>31.13</v>
      </c>
      <c r="J5" s="8" t="n">
        <f aca="false">F5+G5+H5</f>
        <v>3143.96</v>
      </c>
      <c r="K5" s="8" t="n">
        <f aca="false">J5/344.5</f>
        <v>9.12615384615385</v>
      </c>
      <c r="L5" s="8" t="n">
        <f aca="false">I5-K5</f>
        <v>22.0038461538462</v>
      </c>
      <c r="M5" s="9" t="n">
        <f aca="false">IFERROR(L5/I5,0)</f>
        <v>0.706837332279029</v>
      </c>
    </row>
    <row r="6" customFormat="false" ht="15" hidden="false" customHeight="false" outlineLevel="0" collapsed="false">
      <c r="A6" s="6" t="s">
        <v>74</v>
      </c>
      <c r="B6" s="6" t="s">
        <v>65</v>
      </c>
      <c r="C6" s="6" t="s">
        <v>75</v>
      </c>
      <c r="D6" s="6" t="s">
        <v>67</v>
      </c>
      <c r="E6" s="6" t="n">
        <v>258</v>
      </c>
      <c r="F6" s="7" t="n">
        <v>2871.54</v>
      </c>
      <c r="G6" s="7" t="n">
        <v>2260.01</v>
      </c>
      <c r="H6" s="7" t="n">
        <v>0</v>
      </c>
      <c r="I6" s="7" t="n">
        <v>33.99</v>
      </c>
      <c r="J6" s="8" t="n">
        <f aca="false">F6+G6+H6</f>
        <v>5131.55</v>
      </c>
      <c r="K6" s="8" t="n">
        <f aca="false">J6/344.5</f>
        <v>14.8956458635704</v>
      </c>
      <c r="L6" s="8" t="n">
        <f aca="false">I6-K6</f>
        <v>19.0943541364296</v>
      </c>
      <c r="M6" s="9" t="n">
        <f aca="false">IFERROR(L6/I6,0)</f>
        <v>0.561763875740795</v>
      </c>
    </row>
    <row r="7" customFormat="false" ht="15" hidden="false" customHeight="false" outlineLevel="0" collapsed="false">
      <c r="A7" s="6" t="s">
        <v>76</v>
      </c>
      <c r="B7" s="6" t="s">
        <v>65</v>
      </c>
      <c r="C7" s="6" t="s">
        <v>75</v>
      </c>
      <c r="D7" s="6" t="s">
        <v>69</v>
      </c>
      <c r="E7" s="6" t="n">
        <v>50</v>
      </c>
      <c r="F7" s="7" t="n">
        <v>0</v>
      </c>
      <c r="G7" s="7" t="n">
        <v>2260.01</v>
      </c>
      <c r="H7" s="7" t="n">
        <v>0</v>
      </c>
      <c r="I7" s="7" t="n">
        <v>20.76</v>
      </c>
      <c r="J7" s="8" t="n">
        <f aca="false">F7+G7+H7</f>
        <v>2260.01</v>
      </c>
      <c r="K7" s="8" t="n">
        <f aca="false">J7/344.5</f>
        <v>6.56026124818578</v>
      </c>
      <c r="L7" s="8" t="n">
        <f aca="false">I7-K7</f>
        <v>14.1997387518142</v>
      </c>
      <c r="M7" s="9" t="n">
        <f aca="false">IFERROR(L7/I7,0)</f>
        <v>0.68399512291976</v>
      </c>
    </row>
    <row r="8" customFormat="false" ht="15" hidden="false" customHeight="false" outlineLevel="0" collapsed="false">
      <c r="A8" s="6" t="s">
        <v>77</v>
      </c>
      <c r="B8" s="6" t="s">
        <v>65</v>
      </c>
      <c r="C8" s="6" t="s">
        <v>75</v>
      </c>
      <c r="D8" s="6" t="s">
        <v>71</v>
      </c>
      <c r="E8" s="6" t="n">
        <v>431</v>
      </c>
      <c r="F8" s="7" t="n">
        <v>2573.07</v>
      </c>
      <c r="G8" s="7" t="n">
        <v>2260.01</v>
      </c>
      <c r="H8" s="7" t="n">
        <v>0</v>
      </c>
      <c r="I8" s="7" t="n">
        <v>30.62</v>
      </c>
      <c r="J8" s="8" t="n">
        <f aca="false">F8+G8+H8</f>
        <v>4833.08</v>
      </c>
      <c r="K8" s="8" t="n">
        <f aca="false">J8/344.5</f>
        <v>14.029259796807</v>
      </c>
      <c r="L8" s="8" t="n">
        <f aca="false">I8-K8</f>
        <v>16.590740203193</v>
      </c>
      <c r="M8" s="9" t="n">
        <f aca="false">IFERROR(L8/I8,0)</f>
        <v>0.541826917151961</v>
      </c>
    </row>
    <row r="9" customFormat="false" ht="15" hidden="false" customHeight="false" outlineLevel="0" collapsed="false">
      <c r="A9" s="6" t="s">
        <v>78</v>
      </c>
      <c r="B9" s="6" t="s">
        <v>65</v>
      </c>
      <c r="C9" s="6" t="s">
        <v>75</v>
      </c>
      <c r="D9" s="6" t="s">
        <v>73</v>
      </c>
      <c r="E9" s="6" t="n">
        <v>150</v>
      </c>
      <c r="F9" s="7" t="n">
        <v>0</v>
      </c>
      <c r="G9" s="7" t="n">
        <v>2260.01</v>
      </c>
      <c r="H9" s="7" t="n">
        <v>0</v>
      </c>
      <c r="I9" s="7" t="n">
        <v>31.14</v>
      </c>
      <c r="J9" s="8" t="n">
        <f aca="false">F9+G9+H9</f>
        <v>2260.01</v>
      </c>
      <c r="K9" s="8" t="n">
        <f aca="false">J9/344.5</f>
        <v>6.56026124818578</v>
      </c>
      <c r="L9" s="8" t="n">
        <f aca="false">I9-K9</f>
        <v>24.5797387518142</v>
      </c>
      <c r="M9" s="9" t="n">
        <f aca="false">IFERROR(L9/I9,0)</f>
        <v>0.789330081946507</v>
      </c>
    </row>
    <row r="10" customFormat="false" ht="15" hidden="false" customHeight="false" outlineLevel="0" collapsed="false">
      <c r="A10" s="6" t="s">
        <v>79</v>
      </c>
      <c r="B10" s="6" t="s">
        <v>65</v>
      </c>
      <c r="C10" s="6" t="s">
        <v>80</v>
      </c>
      <c r="D10" s="6" t="s">
        <v>81</v>
      </c>
      <c r="E10" s="6" t="n">
        <v>344</v>
      </c>
      <c r="F10" s="7" t="n">
        <v>3333.36</v>
      </c>
      <c r="G10" s="7" t="n">
        <v>2213.47</v>
      </c>
      <c r="H10" s="7" t="n">
        <v>0</v>
      </c>
      <c r="I10" s="7" t="n">
        <v>27.25</v>
      </c>
      <c r="J10" s="8" t="n">
        <f aca="false">F10+G10+H10</f>
        <v>5546.83</v>
      </c>
      <c r="K10" s="8" t="n">
        <f aca="false">J10/344.5</f>
        <v>16.1011030478955</v>
      </c>
      <c r="L10" s="8" t="n">
        <f aca="false">I10-K10</f>
        <v>11.1488969521045</v>
      </c>
      <c r="M10" s="9" t="n">
        <f aca="false">IFERROR(L10/I10,0)</f>
        <v>0.409133833104752</v>
      </c>
    </row>
    <row r="11" customFormat="false" ht="15" hidden="false" customHeight="false" outlineLevel="0" collapsed="false">
      <c r="A11" s="6" t="s">
        <v>82</v>
      </c>
      <c r="B11" s="6" t="s">
        <v>65</v>
      </c>
      <c r="C11" s="6" t="s">
        <v>80</v>
      </c>
      <c r="D11" s="6" t="s">
        <v>69</v>
      </c>
      <c r="E11" s="6" t="n">
        <v>50</v>
      </c>
      <c r="F11" s="7" t="n">
        <v>0</v>
      </c>
      <c r="G11" s="7" t="n">
        <v>2213.47</v>
      </c>
      <c r="H11" s="7" t="n">
        <v>0</v>
      </c>
      <c r="I11" s="7" t="n">
        <v>19.59</v>
      </c>
      <c r="J11" s="8" t="n">
        <f aca="false">F11+G11+H11</f>
        <v>2213.47</v>
      </c>
      <c r="K11" s="8" t="n">
        <f aca="false">J11/344.5</f>
        <v>6.42516690856313</v>
      </c>
      <c r="L11" s="8" t="n">
        <f aca="false">I11-K11</f>
        <v>13.1648330914369</v>
      </c>
      <c r="M11" s="9" t="n">
        <f aca="false">IFERROR(L11/I11,0)</f>
        <v>0.672018024065179</v>
      </c>
    </row>
    <row r="12" customFormat="false" ht="15" hidden="false" customHeight="false" outlineLevel="0" collapsed="false">
      <c r="A12" s="6" t="s">
        <v>83</v>
      </c>
      <c r="B12" s="6" t="s">
        <v>65</v>
      </c>
      <c r="C12" s="6" t="s">
        <v>80</v>
      </c>
      <c r="D12" s="6" t="s">
        <v>71</v>
      </c>
      <c r="E12" s="6" t="n">
        <v>431</v>
      </c>
      <c r="F12" s="7" t="n">
        <v>2573.07</v>
      </c>
      <c r="G12" s="7" t="n">
        <v>2213.47</v>
      </c>
      <c r="H12" s="7" t="n">
        <v>0</v>
      </c>
      <c r="I12" s="7" t="n">
        <v>30.62</v>
      </c>
      <c r="J12" s="8" t="n">
        <f aca="false">F12+G12+H12</f>
        <v>4786.54</v>
      </c>
      <c r="K12" s="8" t="n">
        <f aca="false">J12/344.5</f>
        <v>13.8941654571843</v>
      </c>
      <c r="L12" s="8" t="n">
        <f aca="false">I12-K12</f>
        <v>16.7258345428157</v>
      </c>
      <c r="M12" s="9" t="n">
        <f aca="false">IFERROR(L12/I12,0)</f>
        <v>0.546238881215404</v>
      </c>
    </row>
    <row r="13" customFormat="false" ht="15" hidden="false" customHeight="false" outlineLevel="0" collapsed="false">
      <c r="A13" s="6" t="s">
        <v>84</v>
      </c>
      <c r="B13" s="6" t="s">
        <v>65</v>
      </c>
      <c r="C13" s="6" t="s">
        <v>80</v>
      </c>
      <c r="D13" s="6" t="s">
        <v>73</v>
      </c>
      <c r="E13" s="6" t="n">
        <v>150</v>
      </c>
      <c r="F13" s="7" t="n">
        <v>0</v>
      </c>
      <c r="G13" s="7" t="n">
        <v>2213.47</v>
      </c>
      <c r="H13" s="7" t="n">
        <v>0</v>
      </c>
      <c r="I13" s="7" t="n">
        <v>26.56</v>
      </c>
      <c r="J13" s="8" t="n">
        <f aca="false">F13+G13+H13</f>
        <v>2213.47</v>
      </c>
      <c r="K13" s="8" t="n">
        <f aca="false">J13/344.5</f>
        <v>6.42516690856313</v>
      </c>
      <c r="L13" s="8" t="n">
        <f aca="false">I13-K13</f>
        <v>20.1348330914369</v>
      </c>
      <c r="M13" s="9" t="n">
        <f aca="false">IFERROR(L13/I13,0)</f>
        <v>0.758088595310123</v>
      </c>
    </row>
    <row r="14" customFormat="false" ht="15" hidden="false" customHeight="false" outlineLevel="0" collapsed="false">
      <c r="A14" s="6" t="s">
        <v>85</v>
      </c>
      <c r="B14" s="6" t="s">
        <v>65</v>
      </c>
      <c r="C14" s="6" t="s">
        <v>86</v>
      </c>
      <c r="D14" s="6" t="s">
        <v>67</v>
      </c>
      <c r="E14" s="6" t="n">
        <v>258</v>
      </c>
      <c r="F14" s="7" t="n">
        <v>2871.54</v>
      </c>
      <c r="G14" s="7" t="n">
        <v>2438.11</v>
      </c>
      <c r="H14" s="7" t="n">
        <v>0</v>
      </c>
      <c r="I14" s="7" t="n">
        <v>36.25</v>
      </c>
      <c r="J14" s="8" t="n">
        <f aca="false">F14+G14+H14</f>
        <v>5309.65</v>
      </c>
      <c r="K14" s="8" t="n">
        <f aca="false">J14/344.5</f>
        <v>15.4126269956459</v>
      </c>
      <c r="L14" s="8" t="n">
        <f aca="false">I14-K14</f>
        <v>20.8373730043541</v>
      </c>
      <c r="M14" s="9" t="n">
        <f aca="false">IFERROR(L14/I14,0)</f>
        <v>0.574824082878735</v>
      </c>
    </row>
    <row r="15" customFormat="false" ht="15" hidden="false" customHeight="false" outlineLevel="0" collapsed="false">
      <c r="A15" s="6" t="s">
        <v>87</v>
      </c>
      <c r="B15" s="6" t="s">
        <v>65</v>
      </c>
      <c r="C15" s="6" t="s">
        <v>86</v>
      </c>
      <c r="D15" s="6" t="s">
        <v>69</v>
      </c>
      <c r="E15" s="6" t="n">
        <v>50</v>
      </c>
      <c r="F15" s="7" t="n">
        <v>0</v>
      </c>
      <c r="G15" s="7" t="n">
        <v>2438.11</v>
      </c>
      <c r="H15" s="7" t="n">
        <v>0</v>
      </c>
      <c r="I15" s="7" t="n">
        <v>23.22</v>
      </c>
      <c r="J15" s="8" t="n">
        <f aca="false">F15+G15+H15</f>
        <v>2438.11</v>
      </c>
      <c r="K15" s="8" t="n">
        <f aca="false">J15/344.5</f>
        <v>7.07724238026125</v>
      </c>
      <c r="L15" s="8" t="n">
        <f aca="false">I15-K15</f>
        <v>16.1427576197388</v>
      </c>
      <c r="M15" s="9" t="n">
        <f aca="false">IFERROR(L15/I15,0)</f>
        <v>0.695209199816484</v>
      </c>
    </row>
    <row r="16" customFormat="false" ht="15" hidden="false" customHeight="false" outlineLevel="0" collapsed="false">
      <c r="A16" s="6" t="s">
        <v>88</v>
      </c>
      <c r="B16" s="6" t="s">
        <v>65</v>
      </c>
      <c r="C16" s="6" t="s">
        <v>86</v>
      </c>
      <c r="D16" s="6" t="s">
        <v>73</v>
      </c>
      <c r="E16" s="6" t="n">
        <v>150</v>
      </c>
      <c r="F16" s="7" t="n">
        <v>0</v>
      </c>
      <c r="G16" s="7" t="n">
        <v>2438.11</v>
      </c>
      <c r="H16" s="7" t="n">
        <v>0</v>
      </c>
      <c r="I16" s="7" t="n">
        <v>32.44</v>
      </c>
      <c r="J16" s="8" t="n">
        <f aca="false">F16+G16+H16</f>
        <v>2438.11</v>
      </c>
      <c r="K16" s="8" t="n">
        <f aca="false">J16/344.5</f>
        <v>7.07724238026125</v>
      </c>
      <c r="L16" s="8" t="n">
        <f aca="false">I16-K16</f>
        <v>25.3627576197388</v>
      </c>
      <c r="M16" s="9" t="n">
        <f aca="false">IFERROR(L16/I16,0)</f>
        <v>0.781835931557915</v>
      </c>
    </row>
    <row r="17" customFormat="false" ht="15" hidden="false" customHeight="false" outlineLevel="0" collapsed="false">
      <c r="A17" s="6" t="s">
        <v>89</v>
      </c>
      <c r="B17" s="6" t="s">
        <v>65</v>
      </c>
      <c r="C17" s="6" t="s">
        <v>90</v>
      </c>
      <c r="D17" s="6" t="s">
        <v>67</v>
      </c>
      <c r="E17" s="6" t="n">
        <v>258</v>
      </c>
      <c r="F17" s="7" t="n">
        <v>2871.54</v>
      </c>
      <c r="G17" s="7" t="n">
        <v>3143.96</v>
      </c>
      <c r="H17" s="7" t="n">
        <v>0</v>
      </c>
      <c r="I17" s="7" t="n">
        <v>33.99</v>
      </c>
      <c r="J17" s="8" t="n">
        <f aca="false">F17+G17+H17</f>
        <v>6015.5</v>
      </c>
      <c r="K17" s="8" t="n">
        <f aca="false">J17/344.5</f>
        <v>17.4615384615385</v>
      </c>
      <c r="L17" s="8" t="n">
        <f aca="false">I17-K17</f>
        <v>16.5284615384615</v>
      </c>
      <c r="M17" s="9" t="n">
        <f aca="false">IFERROR(L17/I17,0)</f>
        <v>0.486274243555797</v>
      </c>
    </row>
    <row r="18" customFormat="false" ht="15" hidden="false" customHeight="false" outlineLevel="0" collapsed="false">
      <c r="A18" s="6" t="s">
        <v>91</v>
      </c>
      <c r="B18" s="6" t="s">
        <v>65</v>
      </c>
      <c r="C18" s="6" t="s">
        <v>90</v>
      </c>
      <c r="D18" s="6" t="s">
        <v>69</v>
      </c>
      <c r="E18" s="6" t="n">
        <v>50</v>
      </c>
      <c r="F18" s="7" t="n">
        <v>0</v>
      </c>
      <c r="G18" s="7" t="n">
        <v>3143.96</v>
      </c>
      <c r="H18" s="7" t="n">
        <v>0</v>
      </c>
      <c r="I18" s="7" t="n">
        <v>20.75</v>
      </c>
      <c r="J18" s="8" t="n">
        <f aca="false">F18+G18+H18</f>
        <v>3143.96</v>
      </c>
      <c r="K18" s="8" t="n">
        <f aca="false">J18/344.5</f>
        <v>9.12615384615385</v>
      </c>
      <c r="L18" s="8" t="n">
        <f aca="false">I18-K18</f>
        <v>11.6238461538462</v>
      </c>
      <c r="M18" s="9" t="n">
        <f aca="false">IFERROR(L18/I18,0)</f>
        <v>0.560185356811863</v>
      </c>
    </row>
    <row r="19" customFormat="false" ht="15" hidden="false" customHeight="false" outlineLevel="0" collapsed="false">
      <c r="A19" s="6" t="s">
        <v>92</v>
      </c>
      <c r="B19" s="6" t="s">
        <v>65</v>
      </c>
      <c r="C19" s="6" t="s">
        <v>90</v>
      </c>
      <c r="D19" s="6" t="s">
        <v>71</v>
      </c>
      <c r="E19" s="6" t="n">
        <v>431</v>
      </c>
      <c r="F19" s="7" t="n">
        <v>2573.07</v>
      </c>
      <c r="G19" s="7" t="n">
        <v>3143.96</v>
      </c>
      <c r="H19" s="7" t="n">
        <v>0</v>
      </c>
      <c r="I19" s="7" t="n">
        <v>30.62</v>
      </c>
      <c r="J19" s="8" t="n">
        <f aca="false">F19+G19+H19</f>
        <v>5717.03</v>
      </c>
      <c r="K19" s="8" t="n">
        <f aca="false">J19/344.5</f>
        <v>16.595152394775</v>
      </c>
      <c r="L19" s="8" t="n">
        <f aca="false">I19-K19</f>
        <v>14.024847605225</v>
      </c>
      <c r="M19" s="9" t="n">
        <f aca="false">IFERROR(L19/I19,0)</f>
        <v>0.45802898776045</v>
      </c>
    </row>
    <row r="20" customFormat="false" ht="15" hidden="false" customHeight="false" outlineLevel="0" collapsed="false">
      <c r="A20" s="6" t="s">
        <v>93</v>
      </c>
      <c r="B20" s="6" t="s">
        <v>65</v>
      </c>
      <c r="C20" s="6" t="s">
        <v>90</v>
      </c>
      <c r="D20" s="6" t="s">
        <v>73</v>
      </c>
      <c r="E20" s="6" t="n">
        <v>150</v>
      </c>
      <c r="F20" s="7" t="n">
        <v>0</v>
      </c>
      <c r="G20" s="7" t="n">
        <v>3143.96</v>
      </c>
      <c r="H20" s="7" t="n">
        <v>0</v>
      </c>
      <c r="I20" s="7" t="n">
        <v>31.13</v>
      </c>
      <c r="J20" s="8" t="n">
        <f aca="false">F20+G20+H20</f>
        <v>3143.96</v>
      </c>
      <c r="K20" s="8" t="n">
        <f aca="false">J20/344.5</f>
        <v>9.12615384615385</v>
      </c>
      <c r="L20" s="8" t="n">
        <f aca="false">I20-K20</f>
        <v>22.0038461538462</v>
      </c>
      <c r="M20" s="9" t="n">
        <f aca="false">IFERROR(L20/I20,0)</f>
        <v>0.706837332279029</v>
      </c>
    </row>
    <row r="21" customFormat="false" ht="15" hidden="false" customHeight="false" outlineLevel="0" collapsed="false">
      <c r="A21" s="6" t="s">
        <v>94</v>
      </c>
      <c r="B21" s="6" t="s">
        <v>95</v>
      </c>
      <c r="C21" s="6" t="s">
        <v>96</v>
      </c>
      <c r="D21" s="6" t="s">
        <v>67</v>
      </c>
      <c r="E21" s="6" t="n">
        <v>258</v>
      </c>
      <c r="F21" s="7" t="n">
        <v>2871.54</v>
      </c>
      <c r="G21" s="7" t="n">
        <v>2260.01</v>
      </c>
      <c r="H21" s="7" t="n">
        <v>0</v>
      </c>
      <c r="I21" s="7" t="n">
        <v>33.99</v>
      </c>
      <c r="J21" s="8" t="n">
        <f aca="false">F21+G21+H21</f>
        <v>5131.55</v>
      </c>
      <c r="K21" s="8" t="n">
        <f aca="false">J21/344.5</f>
        <v>14.8956458635704</v>
      </c>
      <c r="L21" s="8" t="n">
        <f aca="false">I21-K21</f>
        <v>19.0943541364296</v>
      </c>
      <c r="M21" s="9" t="n">
        <f aca="false">IFERROR(L21/I21,0)</f>
        <v>0.561763875740795</v>
      </c>
    </row>
    <row r="22" customFormat="false" ht="15" hidden="false" customHeight="false" outlineLevel="0" collapsed="false">
      <c r="A22" s="6" t="s">
        <v>97</v>
      </c>
      <c r="B22" s="6" t="s">
        <v>95</v>
      </c>
      <c r="C22" s="6" t="s">
        <v>96</v>
      </c>
      <c r="D22" s="6" t="s">
        <v>81</v>
      </c>
      <c r="E22" s="6" t="n">
        <v>344</v>
      </c>
      <c r="F22" s="7" t="n">
        <v>3333.36</v>
      </c>
      <c r="G22" s="7" t="n">
        <v>2260.01</v>
      </c>
      <c r="H22" s="7" t="n">
        <v>0</v>
      </c>
      <c r="I22" s="7" t="n">
        <v>28.25</v>
      </c>
      <c r="J22" s="8" t="n">
        <f aca="false">F22+G22+H22</f>
        <v>5593.37</v>
      </c>
      <c r="K22" s="8" t="n">
        <f aca="false">J22/344.5</f>
        <v>16.2361973875181</v>
      </c>
      <c r="L22" s="8" t="n">
        <f aca="false">I22-K22</f>
        <v>12.0138026124819</v>
      </c>
      <c r="M22" s="9" t="n">
        <f aca="false">IFERROR(L22/I22,0)</f>
        <v>0.425267349114402</v>
      </c>
    </row>
    <row r="23" customFormat="false" ht="15" hidden="false" customHeight="false" outlineLevel="0" collapsed="false">
      <c r="A23" s="6" t="s">
        <v>98</v>
      </c>
      <c r="B23" s="6" t="s">
        <v>95</v>
      </c>
      <c r="C23" s="6" t="s">
        <v>96</v>
      </c>
      <c r="D23" s="6" t="s">
        <v>69</v>
      </c>
      <c r="E23" s="6" t="n">
        <v>50</v>
      </c>
      <c r="F23" s="7" t="n">
        <v>0</v>
      </c>
      <c r="G23" s="7" t="n">
        <v>2260.01</v>
      </c>
      <c r="H23" s="7" t="n">
        <v>0</v>
      </c>
      <c r="I23" s="7" t="n">
        <v>20.76</v>
      </c>
      <c r="J23" s="8" t="n">
        <f aca="false">F23+G23+H23</f>
        <v>2260.01</v>
      </c>
      <c r="K23" s="8" t="n">
        <f aca="false">J23/344.5</f>
        <v>6.56026124818578</v>
      </c>
      <c r="L23" s="8" t="n">
        <f aca="false">I23-K23</f>
        <v>14.1997387518142</v>
      </c>
      <c r="M23" s="9" t="n">
        <f aca="false">IFERROR(L23/I23,0)</f>
        <v>0.68399512291976</v>
      </c>
    </row>
    <row r="24" customFormat="false" ht="15" hidden="false" customHeight="false" outlineLevel="0" collapsed="false">
      <c r="A24" s="6" t="s">
        <v>99</v>
      </c>
      <c r="B24" s="6" t="s">
        <v>95</v>
      </c>
      <c r="C24" s="6" t="s">
        <v>96</v>
      </c>
      <c r="D24" s="6" t="s">
        <v>71</v>
      </c>
      <c r="E24" s="6" t="n">
        <v>431</v>
      </c>
      <c r="F24" s="7" t="n">
        <v>2573.07</v>
      </c>
      <c r="G24" s="7" t="n">
        <v>2260.01</v>
      </c>
      <c r="H24" s="7" t="n">
        <v>0</v>
      </c>
      <c r="I24" s="7" t="n">
        <v>30.62</v>
      </c>
      <c r="J24" s="8" t="n">
        <f aca="false">F24+G24+H24</f>
        <v>4833.08</v>
      </c>
      <c r="K24" s="8" t="n">
        <f aca="false">J24/344.5</f>
        <v>14.029259796807</v>
      </c>
      <c r="L24" s="8" t="n">
        <f aca="false">I24-K24</f>
        <v>16.590740203193</v>
      </c>
      <c r="M24" s="9" t="n">
        <f aca="false">IFERROR(L24/I24,0)</f>
        <v>0.541826917151961</v>
      </c>
    </row>
    <row r="25" customFormat="false" ht="15" hidden="false" customHeight="false" outlineLevel="0" collapsed="false">
      <c r="A25" s="6" t="s">
        <v>100</v>
      </c>
      <c r="B25" s="6" t="s">
        <v>95</v>
      </c>
      <c r="C25" s="6" t="s">
        <v>96</v>
      </c>
      <c r="D25" s="6" t="s">
        <v>73</v>
      </c>
      <c r="E25" s="6" t="n">
        <v>150</v>
      </c>
      <c r="F25" s="7" t="n">
        <v>0</v>
      </c>
      <c r="G25" s="7" t="n">
        <v>2260.01</v>
      </c>
      <c r="H25" s="7" t="n">
        <v>0</v>
      </c>
      <c r="I25" s="7" t="n">
        <v>30.48</v>
      </c>
      <c r="J25" s="8" t="n">
        <f aca="false">F25+G25+H25</f>
        <v>2260.01</v>
      </c>
      <c r="K25" s="8" t="n">
        <f aca="false">J25/344.5</f>
        <v>6.56026124818578</v>
      </c>
      <c r="L25" s="8" t="n">
        <f aca="false">I25-K25</f>
        <v>23.9197387518142</v>
      </c>
      <c r="M25" s="9" t="n">
        <f aca="false">IFERROR(L25/I25,0)</f>
        <v>0.784768331752435</v>
      </c>
    </row>
    <row r="26" customFormat="false" ht="15" hidden="false" customHeight="false" outlineLevel="0" collapsed="false">
      <c r="A26" s="6" t="s">
        <v>101</v>
      </c>
      <c r="B26" s="6" t="s">
        <v>95</v>
      </c>
      <c r="C26" s="6" t="s">
        <v>102</v>
      </c>
      <c r="D26" s="6" t="s">
        <v>81</v>
      </c>
      <c r="E26" s="6" t="n">
        <v>344</v>
      </c>
      <c r="F26" s="7" t="n">
        <v>3333.36</v>
      </c>
      <c r="G26" s="7" t="n">
        <v>1967.14</v>
      </c>
      <c r="H26" s="7" t="n">
        <v>0</v>
      </c>
      <c r="I26" s="7" t="n">
        <v>28.25</v>
      </c>
      <c r="J26" s="8" t="n">
        <f aca="false">F26+G26+H26</f>
        <v>5300.5</v>
      </c>
      <c r="K26" s="8" t="n">
        <f aca="false">J26/344.5</f>
        <v>15.3860667634253</v>
      </c>
      <c r="L26" s="8" t="n">
        <f aca="false">I26-K26</f>
        <v>12.8639332365747</v>
      </c>
      <c r="M26" s="9" t="n">
        <f aca="false">IFERROR(L26/I26,0)</f>
        <v>0.455360468551318</v>
      </c>
    </row>
    <row r="27" customFormat="false" ht="15" hidden="false" customHeight="false" outlineLevel="0" collapsed="false">
      <c r="A27" s="6" t="s">
        <v>103</v>
      </c>
      <c r="B27" s="6" t="s">
        <v>95</v>
      </c>
      <c r="C27" s="6" t="s">
        <v>102</v>
      </c>
      <c r="D27" s="6" t="s">
        <v>69</v>
      </c>
      <c r="E27" s="6" t="n">
        <v>50</v>
      </c>
      <c r="F27" s="7" t="n">
        <v>0</v>
      </c>
      <c r="G27" s="7" t="n">
        <v>1967.14</v>
      </c>
      <c r="H27" s="7" t="n">
        <v>0</v>
      </c>
      <c r="I27" s="7" t="n">
        <v>20.76</v>
      </c>
      <c r="J27" s="8" t="n">
        <f aca="false">F27+G27+H27</f>
        <v>1967.14</v>
      </c>
      <c r="K27" s="8" t="n">
        <f aca="false">J27/344.5</f>
        <v>5.71013062409289</v>
      </c>
      <c r="L27" s="8" t="n">
        <f aca="false">I27-K27</f>
        <v>15.0498693759071</v>
      </c>
      <c r="M27" s="9" t="n">
        <f aca="false">IFERROR(L27/I27,0)</f>
        <v>0.724945538338493</v>
      </c>
    </row>
    <row r="28" customFormat="false" ht="15" hidden="false" customHeight="false" outlineLevel="0" collapsed="false">
      <c r="A28" s="6" t="s">
        <v>104</v>
      </c>
      <c r="B28" s="6" t="s">
        <v>95</v>
      </c>
      <c r="C28" s="6" t="s">
        <v>102</v>
      </c>
      <c r="D28" s="6" t="s">
        <v>73</v>
      </c>
      <c r="E28" s="6" t="n">
        <v>150</v>
      </c>
      <c r="F28" s="7" t="n">
        <v>0</v>
      </c>
      <c r="G28" s="7" t="n">
        <v>1967.14</v>
      </c>
      <c r="H28" s="7" t="n">
        <v>0</v>
      </c>
      <c r="I28" s="7" t="n">
        <v>30.48</v>
      </c>
      <c r="J28" s="8" t="n">
        <f aca="false">F28+G28+H28</f>
        <v>1967.14</v>
      </c>
      <c r="K28" s="8" t="n">
        <f aca="false">J28/344.5</f>
        <v>5.71013062409289</v>
      </c>
      <c r="L28" s="8" t="n">
        <f aca="false">I28-K28</f>
        <v>24.7698693759071</v>
      </c>
      <c r="M28" s="9" t="n">
        <f aca="false">IFERROR(L28/I28,0)</f>
        <v>0.812659756427399</v>
      </c>
    </row>
    <row r="29" customFormat="false" ht="15" hidden="false" customHeight="false" outlineLevel="0" collapsed="false">
      <c r="A29" s="6" t="s">
        <v>105</v>
      </c>
      <c r="B29" s="6" t="s">
        <v>95</v>
      </c>
      <c r="C29" s="6" t="s">
        <v>106</v>
      </c>
      <c r="D29" s="6" t="s">
        <v>67</v>
      </c>
      <c r="E29" s="6" t="n">
        <v>258</v>
      </c>
      <c r="F29" s="7" t="n">
        <v>2871.54</v>
      </c>
      <c r="G29" s="7" t="n">
        <v>3143.96</v>
      </c>
      <c r="H29" s="7" t="n">
        <v>0</v>
      </c>
      <c r="I29" s="7" t="n">
        <v>33.99</v>
      </c>
      <c r="J29" s="8" t="n">
        <f aca="false">F29+G29+H29</f>
        <v>6015.5</v>
      </c>
      <c r="K29" s="8" t="n">
        <f aca="false">J29/344.5</f>
        <v>17.4615384615385</v>
      </c>
      <c r="L29" s="8" t="n">
        <f aca="false">I29-K29</f>
        <v>16.5284615384615</v>
      </c>
      <c r="M29" s="9" t="n">
        <f aca="false">IFERROR(L29/I29,0)</f>
        <v>0.486274243555797</v>
      </c>
    </row>
    <row r="30" customFormat="false" ht="15" hidden="false" customHeight="false" outlineLevel="0" collapsed="false">
      <c r="A30" s="6" t="s">
        <v>107</v>
      </c>
      <c r="B30" s="6" t="s">
        <v>95</v>
      </c>
      <c r="C30" s="6" t="s">
        <v>106</v>
      </c>
      <c r="D30" s="6" t="s">
        <v>81</v>
      </c>
      <c r="E30" s="6" t="n">
        <v>344</v>
      </c>
      <c r="F30" s="7" t="n">
        <v>3333.36</v>
      </c>
      <c r="G30" s="7" t="n">
        <v>3143.96</v>
      </c>
      <c r="H30" s="7" t="n">
        <v>0</v>
      </c>
      <c r="I30" s="7" t="n">
        <v>28.25</v>
      </c>
      <c r="J30" s="8" t="n">
        <f aca="false">F30+G30+H30</f>
        <v>6477.32</v>
      </c>
      <c r="K30" s="8" t="n">
        <f aca="false">J30/344.5</f>
        <v>18.8020899854862</v>
      </c>
      <c r="L30" s="8" t="n">
        <f aca="false">I30-K30</f>
        <v>9.44791001451379</v>
      </c>
      <c r="M30" s="9" t="n">
        <f aca="false">IFERROR(L30/I30,0)</f>
        <v>0.334439292549161</v>
      </c>
    </row>
    <row r="31" customFormat="false" ht="15" hidden="false" customHeight="false" outlineLevel="0" collapsed="false">
      <c r="A31" s="6" t="s">
        <v>108</v>
      </c>
      <c r="B31" s="6" t="s">
        <v>95</v>
      </c>
      <c r="C31" s="6" t="s">
        <v>106</v>
      </c>
      <c r="D31" s="6" t="s">
        <v>69</v>
      </c>
      <c r="E31" s="6" t="n">
        <v>50</v>
      </c>
      <c r="F31" s="7" t="n">
        <v>0</v>
      </c>
      <c r="G31" s="7" t="n">
        <v>3143.96</v>
      </c>
      <c r="H31" s="7" t="n">
        <v>0</v>
      </c>
      <c r="I31" s="7" t="n">
        <v>20.75</v>
      </c>
      <c r="J31" s="8" t="n">
        <f aca="false">F31+G31+H31</f>
        <v>3143.96</v>
      </c>
      <c r="K31" s="8" t="n">
        <f aca="false">J31/344.5</f>
        <v>9.12615384615385</v>
      </c>
      <c r="L31" s="8" t="n">
        <f aca="false">I31-K31</f>
        <v>11.6238461538462</v>
      </c>
      <c r="M31" s="9" t="n">
        <f aca="false">IFERROR(L31/I31,0)</f>
        <v>0.560185356811863</v>
      </c>
    </row>
    <row r="32" customFormat="false" ht="15" hidden="false" customHeight="false" outlineLevel="0" collapsed="false">
      <c r="A32" s="6" t="s">
        <v>109</v>
      </c>
      <c r="B32" s="6" t="s">
        <v>95</v>
      </c>
      <c r="C32" s="6" t="s">
        <v>106</v>
      </c>
      <c r="D32" s="6" t="s">
        <v>71</v>
      </c>
      <c r="E32" s="6" t="n">
        <v>431</v>
      </c>
      <c r="F32" s="7" t="n">
        <v>2573.07</v>
      </c>
      <c r="G32" s="7" t="n">
        <v>3143.96</v>
      </c>
      <c r="H32" s="7" t="n">
        <v>0</v>
      </c>
      <c r="I32" s="7" t="n">
        <v>30.62</v>
      </c>
      <c r="J32" s="8" t="n">
        <f aca="false">F32+G32+H32</f>
        <v>5717.03</v>
      </c>
      <c r="K32" s="8" t="n">
        <f aca="false">J32/344.5</f>
        <v>16.595152394775</v>
      </c>
      <c r="L32" s="8" t="n">
        <f aca="false">I32-K32</f>
        <v>14.024847605225</v>
      </c>
      <c r="M32" s="9" t="n">
        <f aca="false">IFERROR(L32/I32,0)</f>
        <v>0.45802898776045</v>
      </c>
    </row>
    <row r="33" customFormat="false" ht="15" hidden="false" customHeight="false" outlineLevel="0" collapsed="false">
      <c r="A33" s="6" t="s">
        <v>110</v>
      </c>
      <c r="B33" s="6" t="s">
        <v>95</v>
      </c>
      <c r="C33" s="6" t="s">
        <v>106</v>
      </c>
      <c r="D33" s="6" t="s">
        <v>73</v>
      </c>
      <c r="E33" s="6" t="n">
        <v>150</v>
      </c>
      <c r="F33" s="7" t="n">
        <v>0</v>
      </c>
      <c r="G33" s="7" t="n">
        <v>3143.96</v>
      </c>
      <c r="H33" s="7" t="n">
        <v>0</v>
      </c>
      <c r="I33" s="7" t="n">
        <v>30.48</v>
      </c>
      <c r="J33" s="8" t="n">
        <f aca="false">F33+G33+H33</f>
        <v>3143.96</v>
      </c>
      <c r="K33" s="8" t="n">
        <f aca="false">J33/344.5</f>
        <v>9.12615384615385</v>
      </c>
      <c r="L33" s="8" t="n">
        <f aca="false">I33-K33</f>
        <v>21.3538461538462</v>
      </c>
      <c r="M33" s="9" t="n">
        <f aca="false">IFERROR(L33/I33,0)</f>
        <v>0.70058550373511</v>
      </c>
    </row>
    <row r="34" customFormat="false" ht="15" hidden="false" customHeight="false" outlineLevel="0" collapsed="false">
      <c r="A34" s="6" t="s">
        <v>111</v>
      </c>
      <c r="B34" s="6" t="s">
        <v>112</v>
      </c>
      <c r="C34" s="6" t="s">
        <v>113</v>
      </c>
      <c r="D34" s="6" t="s">
        <v>67</v>
      </c>
      <c r="E34" s="6" t="n">
        <v>258</v>
      </c>
      <c r="F34" s="7" t="n">
        <v>2871.54</v>
      </c>
      <c r="G34" s="7" t="n">
        <v>3762.52</v>
      </c>
      <c r="H34" s="7" t="n">
        <v>0</v>
      </c>
      <c r="I34" s="7" t="n">
        <v>31.48</v>
      </c>
      <c r="J34" s="8" t="n">
        <f aca="false">F34+G34+H34</f>
        <v>6634.06</v>
      </c>
      <c r="K34" s="8" t="n">
        <f aca="false">J34/344.5</f>
        <v>19.2570682148041</v>
      </c>
      <c r="L34" s="8" t="n">
        <f aca="false">I34-K34</f>
        <v>12.2229317851959</v>
      </c>
      <c r="M34" s="9" t="n">
        <f aca="false">IFERROR(L34/I34,0)</f>
        <v>0.388276104993518</v>
      </c>
    </row>
    <row r="35" customFormat="false" ht="15" hidden="false" customHeight="false" outlineLevel="0" collapsed="false">
      <c r="A35" s="6" t="s">
        <v>114</v>
      </c>
      <c r="B35" s="6" t="s">
        <v>112</v>
      </c>
      <c r="C35" s="6" t="s">
        <v>113</v>
      </c>
      <c r="D35" s="6" t="s">
        <v>69</v>
      </c>
      <c r="E35" s="6" t="n">
        <v>50</v>
      </c>
      <c r="F35" s="7" t="n">
        <v>0</v>
      </c>
      <c r="G35" s="7" t="n">
        <v>3762.52</v>
      </c>
      <c r="H35" s="7" t="n">
        <v>0</v>
      </c>
      <c r="I35" s="7" t="n">
        <v>21.92</v>
      </c>
      <c r="J35" s="8" t="n">
        <f aca="false">F35+G35+H35</f>
        <v>3762.52</v>
      </c>
      <c r="K35" s="8" t="n">
        <f aca="false">J35/344.5</f>
        <v>10.9216835994194</v>
      </c>
      <c r="L35" s="8" t="n">
        <f aca="false">I35-K35</f>
        <v>10.9983164005806</v>
      </c>
      <c r="M35" s="9" t="n">
        <f aca="false">IFERROR(L35/I35,0)</f>
        <v>0.50174801097539</v>
      </c>
    </row>
    <row r="36" customFormat="false" ht="15" hidden="false" customHeight="false" outlineLevel="0" collapsed="false">
      <c r="A36" s="6" t="s">
        <v>115</v>
      </c>
      <c r="B36" s="6" t="s">
        <v>112</v>
      </c>
      <c r="C36" s="6" t="s">
        <v>113</v>
      </c>
      <c r="D36" s="6" t="s">
        <v>73</v>
      </c>
      <c r="E36" s="6" t="n">
        <v>150</v>
      </c>
      <c r="F36" s="7" t="n">
        <v>0</v>
      </c>
      <c r="G36" s="7" t="n">
        <v>3762.52</v>
      </c>
      <c r="H36" s="7" t="n">
        <v>0</v>
      </c>
      <c r="I36" s="7" t="n">
        <v>31.35</v>
      </c>
      <c r="J36" s="8" t="n">
        <f aca="false">F36+G36+H36</f>
        <v>3762.52</v>
      </c>
      <c r="K36" s="8" t="n">
        <f aca="false">J36/344.5</f>
        <v>10.9216835994194</v>
      </c>
      <c r="L36" s="8" t="n">
        <f aca="false">I36-K36</f>
        <v>20.4283164005806</v>
      </c>
      <c r="M36" s="9" t="n">
        <f aca="false">IFERROR(L36/I36,0)</f>
        <v>0.651620937817562</v>
      </c>
    </row>
    <row r="37" customFormat="false" ht="15" hidden="false" customHeight="false" outlineLevel="0" collapsed="false">
      <c r="A37" s="6" t="s">
        <v>116</v>
      </c>
      <c r="B37" s="6" t="s">
        <v>112</v>
      </c>
      <c r="C37" s="6" t="s">
        <v>117</v>
      </c>
      <c r="D37" s="6" t="s">
        <v>67</v>
      </c>
      <c r="E37" s="6" t="n">
        <v>258</v>
      </c>
      <c r="F37" s="7" t="n">
        <v>2871.54</v>
      </c>
      <c r="G37" s="7" t="n">
        <v>3476.01</v>
      </c>
      <c r="H37" s="7" t="n">
        <v>0</v>
      </c>
      <c r="I37" s="7" t="n">
        <v>31.48</v>
      </c>
      <c r="J37" s="8" t="n">
        <f aca="false">F37+G37+H37</f>
        <v>6347.55</v>
      </c>
      <c r="K37" s="8" t="n">
        <f aca="false">J37/344.5</f>
        <v>18.4253991291727</v>
      </c>
      <c r="L37" s="8" t="n">
        <f aca="false">I37-K37</f>
        <v>13.0546008708273</v>
      </c>
      <c r="M37" s="9" t="n">
        <f aca="false">IFERROR(L37/I37,0)</f>
        <v>0.414695072135555</v>
      </c>
    </row>
    <row r="38" customFormat="false" ht="15" hidden="false" customHeight="false" outlineLevel="0" collapsed="false">
      <c r="A38" s="6" t="s">
        <v>118</v>
      </c>
      <c r="B38" s="6" t="s">
        <v>112</v>
      </c>
      <c r="C38" s="6" t="s">
        <v>117</v>
      </c>
      <c r="D38" s="6" t="s">
        <v>69</v>
      </c>
      <c r="E38" s="6" t="n">
        <v>50</v>
      </c>
      <c r="F38" s="7" t="n">
        <v>0</v>
      </c>
      <c r="G38" s="7" t="n">
        <v>3476.01</v>
      </c>
      <c r="H38" s="7" t="n">
        <v>0</v>
      </c>
      <c r="I38" s="7" t="n">
        <v>21.92</v>
      </c>
      <c r="J38" s="8" t="n">
        <f aca="false">F38+G38+H38</f>
        <v>3476.01</v>
      </c>
      <c r="K38" s="8" t="n">
        <f aca="false">J38/344.5</f>
        <v>10.0900145137881</v>
      </c>
      <c r="L38" s="8" t="n">
        <f aca="false">I38-K38</f>
        <v>11.8299854862119</v>
      </c>
      <c r="M38" s="9" t="n">
        <f aca="false">IFERROR(L38/I38,0)</f>
        <v>0.539689118896528</v>
      </c>
    </row>
    <row r="39" customFormat="false" ht="15" hidden="false" customHeight="false" outlineLevel="0" collapsed="false">
      <c r="A39" s="6" t="s">
        <v>119</v>
      </c>
      <c r="B39" s="6" t="s">
        <v>112</v>
      </c>
      <c r="C39" s="6" t="s">
        <v>117</v>
      </c>
      <c r="D39" s="6" t="s">
        <v>73</v>
      </c>
      <c r="E39" s="6" t="n">
        <v>150</v>
      </c>
      <c r="F39" s="7" t="n">
        <v>0</v>
      </c>
      <c r="G39" s="7" t="n">
        <v>3476.01</v>
      </c>
      <c r="H39" s="7" t="n">
        <v>0</v>
      </c>
      <c r="I39" s="7" t="n">
        <v>31.35</v>
      </c>
      <c r="J39" s="8" t="n">
        <f aca="false">F39+G39+H39</f>
        <v>3476.01</v>
      </c>
      <c r="K39" s="8" t="n">
        <f aca="false">J39/344.5</f>
        <v>10.0900145137881</v>
      </c>
      <c r="L39" s="8" t="n">
        <f aca="false">I39-K39</f>
        <v>21.2599854862119</v>
      </c>
      <c r="M39" s="9" t="n">
        <f aca="false">IFERROR(L39/I39,0)</f>
        <v>0.678149457295436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26.85" hidden="false" customHeight="false" outlineLevel="0" collapsed="false">
      <c r="A1" s="5" t="s">
        <v>51</v>
      </c>
      <c r="B1" s="5" t="s">
        <v>52</v>
      </c>
      <c r="C1" s="5" t="s">
        <v>53</v>
      </c>
      <c r="D1" s="5" t="s">
        <v>54</v>
      </c>
      <c r="E1" s="5" t="s">
        <v>120</v>
      </c>
      <c r="F1" s="5" t="s">
        <v>121</v>
      </c>
      <c r="G1" s="5" t="s">
        <v>122</v>
      </c>
      <c r="H1" s="5" t="s">
        <v>123</v>
      </c>
    </row>
    <row r="2" customFormat="false" ht="15" hidden="false" customHeight="false" outlineLevel="0" collapsed="false">
      <c r="A2" s="6" t="s">
        <v>64</v>
      </c>
      <c r="B2" s="6" t="s">
        <v>65</v>
      </c>
      <c r="C2" s="6" t="s">
        <v>66</v>
      </c>
      <c r="D2" s="6" t="s">
        <v>67</v>
      </c>
      <c r="E2" s="10" t="n">
        <v>5561.405</v>
      </c>
      <c r="F2" s="11" t="n">
        <v>4165</v>
      </c>
      <c r="G2" s="12" t="n">
        <v>1</v>
      </c>
      <c r="H2" s="12" t="s">
        <v>124</v>
      </c>
    </row>
    <row r="3" customFormat="false" ht="15" hidden="false" customHeight="false" outlineLevel="0" collapsed="false">
      <c r="A3" s="6" t="s">
        <v>68</v>
      </c>
      <c r="B3" s="6" t="s">
        <v>65</v>
      </c>
      <c r="C3" s="6" t="s">
        <v>66</v>
      </c>
      <c r="D3" s="6" t="s">
        <v>69</v>
      </c>
      <c r="E3" s="10" t="n">
        <v>1846.52</v>
      </c>
      <c r="F3" s="11" t="n">
        <v>268</v>
      </c>
      <c r="G3" s="12" t="n">
        <v>1</v>
      </c>
      <c r="H3" s="12" t="s">
        <v>125</v>
      </c>
    </row>
    <row r="4" customFormat="false" ht="15" hidden="false" customHeight="false" outlineLevel="0" collapsed="false">
      <c r="A4" s="6" t="s">
        <v>70</v>
      </c>
      <c r="B4" s="6" t="s">
        <v>65</v>
      </c>
      <c r="C4" s="6" t="s">
        <v>66</v>
      </c>
      <c r="D4" s="6" t="s">
        <v>71</v>
      </c>
      <c r="E4" s="10" t="n">
        <v>493.9698</v>
      </c>
      <c r="F4" s="11" t="n">
        <v>618</v>
      </c>
      <c r="G4" s="12" t="n">
        <v>1</v>
      </c>
      <c r="H4" s="12" t="s">
        <v>126</v>
      </c>
    </row>
    <row r="5" customFormat="false" ht="15" hidden="false" customHeight="false" outlineLevel="0" collapsed="false">
      <c r="A5" s="6" t="s">
        <v>72</v>
      </c>
      <c r="B5" s="6" t="s">
        <v>65</v>
      </c>
      <c r="C5" s="6" t="s">
        <v>66</v>
      </c>
      <c r="D5" s="6" t="s">
        <v>73</v>
      </c>
      <c r="E5" s="10" t="n">
        <v>461.63</v>
      </c>
      <c r="F5" s="11" t="n">
        <v>201</v>
      </c>
      <c r="G5" s="12" t="n">
        <v>1</v>
      </c>
      <c r="H5" s="12" t="s">
        <v>127</v>
      </c>
    </row>
    <row r="6" customFormat="false" ht="15" hidden="false" customHeight="false" outlineLevel="0" collapsed="false">
      <c r="A6" s="6" t="s">
        <v>74</v>
      </c>
      <c r="B6" s="6" t="s">
        <v>65</v>
      </c>
      <c r="C6" s="6" t="s">
        <v>75</v>
      </c>
      <c r="D6" s="6" t="s">
        <v>67</v>
      </c>
      <c r="E6" s="10" t="n">
        <v>1188.3915</v>
      </c>
      <c r="F6" s="11" t="n">
        <v>890</v>
      </c>
      <c r="G6" s="12" t="n">
        <v>1</v>
      </c>
      <c r="H6" s="12" t="s">
        <v>128</v>
      </c>
    </row>
    <row r="7" customFormat="false" ht="15" hidden="false" customHeight="false" outlineLevel="0" collapsed="false">
      <c r="A7" s="6" t="s">
        <v>76</v>
      </c>
      <c r="B7" s="6" t="s">
        <v>65</v>
      </c>
      <c r="C7" s="6" t="s">
        <v>75</v>
      </c>
      <c r="D7" s="6" t="s">
        <v>69</v>
      </c>
      <c r="E7" s="10" t="n">
        <v>1102.4</v>
      </c>
      <c r="F7" s="11" t="n">
        <v>160</v>
      </c>
      <c r="G7" s="12" t="n">
        <v>1</v>
      </c>
      <c r="H7" s="12" t="s">
        <v>129</v>
      </c>
    </row>
    <row r="8" customFormat="false" ht="15" hidden="false" customHeight="false" outlineLevel="0" collapsed="false">
      <c r="A8" s="6" t="s">
        <v>77</v>
      </c>
      <c r="B8" s="6" t="s">
        <v>65</v>
      </c>
      <c r="C8" s="6" t="s">
        <v>75</v>
      </c>
      <c r="D8" s="6" t="s">
        <v>71</v>
      </c>
      <c r="E8" s="10" t="n">
        <v>227.0023</v>
      </c>
      <c r="F8" s="11" t="n">
        <v>284</v>
      </c>
      <c r="G8" s="12" t="n">
        <v>1</v>
      </c>
      <c r="H8" s="12" t="s">
        <v>130</v>
      </c>
    </row>
    <row r="9" customFormat="false" ht="15" hidden="false" customHeight="false" outlineLevel="0" collapsed="false">
      <c r="A9" s="6" t="s">
        <v>78</v>
      </c>
      <c r="B9" s="6" t="s">
        <v>65</v>
      </c>
      <c r="C9" s="6" t="s">
        <v>75</v>
      </c>
      <c r="D9" s="6" t="s">
        <v>73</v>
      </c>
      <c r="E9" s="10" t="n">
        <v>222.7767</v>
      </c>
      <c r="F9" s="11" t="n">
        <v>97</v>
      </c>
      <c r="G9" s="12" t="n">
        <v>1</v>
      </c>
      <c r="H9" s="12" t="s">
        <v>131</v>
      </c>
    </row>
    <row r="10" customFormat="false" ht="15" hidden="false" customHeight="false" outlineLevel="0" collapsed="false">
      <c r="A10" s="6" t="s">
        <v>79</v>
      </c>
      <c r="B10" s="6" t="s">
        <v>65</v>
      </c>
      <c r="C10" s="6" t="s">
        <v>80</v>
      </c>
      <c r="D10" s="6" t="s">
        <v>81</v>
      </c>
      <c r="E10" s="10" t="n">
        <v>1643.3852</v>
      </c>
      <c r="F10" s="11" t="n">
        <v>1641</v>
      </c>
      <c r="G10" s="12" t="n">
        <v>1</v>
      </c>
      <c r="H10" s="12" t="s">
        <v>132</v>
      </c>
    </row>
    <row r="11" customFormat="false" ht="15" hidden="false" customHeight="false" outlineLevel="0" collapsed="false">
      <c r="A11" s="6" t="s">
        <v>82</v>
      </c>
      <c r="B11" s="6" t="s">
        <v>65</v>
      </c>
      <c r="C11" s="6" t="s">
        <v>80</v>
      </c>
      <c r="D11" s="6" t="s">
        <v>69</v>
      </c>
      <c r="E11" s="10" t="n">
        <v>1577.81</v>
      </c>
      <c r="F11" s="11" t="n">
        <v>229</v>
      </c>
      <c r="G11" s="12" t="n">
        <v>1</v>
      </c>
      <c r="H11" s="12" t="s">
        <v>133</v>
      </c>
    </row>
    <row r="12" customFormat="false" ht="15" hidden="false" customHeight="false" outlineLevel="0" collapsed="false">
      <c r="A12" s="6" t="s">
        <v>83</v>
      </c>
      <c r="B12" s="6" t="s">
        <v>65</v>
      </c>
      <c r="C12" s="6" t="s">
        <v>80</v>
      </c>
      <c r="D12" s="6" t="s">
        <v>71</v>
      </c>
      <c r="E12" s="10" t="n">
        <v>493.9698</v>
      </c>
      <c r="F12" s="11" t="n">
        <v>618</v>
      </c>
      <c r="G12" s="12" t="n">
        <v>1</v>
      </c>
      <c r="H12" s="12" t="s">
        <v>134</v>
      </c>
    </row>
    <row r="13" customFormat="false" ht="15" hidden="false" customHeight="false" outlineLevel="0" collapsed="false">
      <c r="A13" s="6" t="s">
        <v>84</v>
      </c>
      <c r="B13" s="6" t="s">
        <v>65</v>
      </c>
      <c r="C13" s="6" t="s">
        <v>80</v>
      </c>
      <c r="D13" s="6" t="s">
        <v>73</v>
      </c>
      <c r="E13" s="10" t="n">
        <v>773.9767</v>
      </c>
      <c r="F13" s="11" t="n">
        <v>337</v>
      </c>
      <c r="G13" s="12" t="n">
        <v>1</v>
      </c>
      <c r="H13" s="12" t="s">
        <v>135</v>
      </c>
    </row>
    <row r="14" customFormat="false" ht="15" hidden="false" customHeight="false" outlineLevel="0" collapsed="false">
      <c r="A14" s="6" t="s">
        <v>85</v>
      </c>
      <c r="B14" s="6" t="s">
        <v>65</v>
      </c>
      <c r="C14" s="6" t="s">
        <v>86</v>
      </c>
      <c r="D14" s="6" t="s">
        <v>67</v>
      </c>
      <c r="E14" s="10" t="n">
        <v>3204.6512</v>
      </c>
      <c r="F14" s="11" t="n">
        <v>2400</v>
      </c>
      <c r="G14" s="12" t="n">
        <v>1</v>
      </c>
      <c r="H14" s="12" t="s">
        <v>136</v>
      </c>
    </row>
    <row r="15" customFormat="false" ht="15" hidden="false" customHeight="false" outlineLevel="0" collapsed="false">
      <c r="A15" s="6" t="s">
        <v>87</v>
      </c>
      <c r="B15" s="6" t="s">
        <v>65</v>
      </c>
      <c r="C15" s="6" t="s">
        <v>86</v>
      </c>
      <c r="D15" s="6" t="s">
        <v>69</v>
      </c>
      <c r="E15" s="10" t="n">
        <v>840.58</v>
      </c>
      <c r="F15" s="11" t="n">
        <v>122</v>
      </c>
      <c r="G15" s="12" t="n">
        <v>1</v>
      </c>
      <c r="H15" s="12" t="s">
        <v>137</v>
      </c>
    </row>
    <row r="16" customFormat="false" ht="15" hidden="false" customHeight="false" outlineLevel="0" collapsed="false">
      <c r="A16" s="6" t="s">
        <v>88</v>
      </c>
      <c r="B16" s="6" t="s">
        <v>65</v>
      </c>
      <c r="C16" s="6" t="s">
        <v>86</v>
      </c>
      <c r="D16" s="6" t="s">
        <v>73</v>
      </c>
      <c r="E16" s="10" t="n">
        <v>583.3533</v>
      </c>
      <c r="F16" s="11" t="n">
        <v>254</v>
      </c>
      <c r="G16" s="12" t="n">
        <v>1</v>
      </c>
      <c r="H16" s="12" t="s">
        <v>138</v>
      </c>
    </row>
    <row r="17" customFormat="false" ht="15" hidden="false" customHeight="false" outlineLevel="0" collapsed="false">
      <c r="A17" s="6" t="s">
        <v>89</v>
      </c>
      <c r="B17" s="6" t="s">
        <v>65</v>
      </c>
      <c r="C17" s="6" t="s">
        <v>90</v>
      </c>
      <c r="D17" s="6" t="s">
        <v>67</v>
      </c>
      <c r="E17" s="10" t="n">
        <v>785.1395</v>
      </c>
      <c r="F17" s="11" t="n">
        <v>588</v>
      </c>
      <c r="G17" s="12" t="n">
        <v>1</v>
      </c>
      <c r="H17" s="12" t="s">
        <v>139</v>
      </c>
    </row>
    <row r="18" customFormat="false" ht="15" hidden="false" customHeight="false" outlineLevel="0" collapsed="false">
      <c r="A18" s="6" t="s">
        <v>91</v>
      </c>
      <c r="B18" s="6" t="s">
        <v>65</v>
      </c>
      <c r="C18" s="6" t="s">
        <v>90</v>
      </c>
      <c r="D18" s="6" t="s">
        <v>69</v>
      </c>
      <c r="E18" s="10" t="n">
        <v>757.9</v>
      </c>
      <c r="F18" s="11" t="n">
        <v>110</v>
      </c>
      <c r="G18" s="12" t="n">
        <v>1</v>
      </c>
      <c r="H18" s="12" t="s">
        <v>140</v>
      </c>
    </row>
    <row r="19" customFormat="false" ht="15" hidden="false" customHeight="false" outlineLevel="0" collapsed="false">
      <c r="A19" s="6" t="s">
        <v>92</v>
      </c>
      <c r="B19" s="6" t="s">
        <v>65</v>
      </c>
      <c r="C19" s="6" t="s">
        <v>90</v>
      </c>
      <c r="D19" s="6" t="s">
        <v>71</v>
      </c>
      <c r="E19" s="10" t="n">
        <v>161.4594</v>
      </c>
      <c r="F19" s="11" t="n">
        <v>202</v>
      </c>
      <c r="G19" s="12" t="n">
        <v>1</v>
      </c>
      <c r="H19" s="12" t="s">
        <v>141</v>
      </c>
    </row>
    <row r="20" customFormat="false" ht="15" hidden="false" customHeight="false" outlineLevel="0" collapsed="false">
      <c r="A20" s="6" t="s">
        <v>93</v>
      </c>
      <c r="B20" s="6" t="s">
        <v>65</v>
      </c>
      <c r="C20" s="6" t="s">
        <v>90</v>
      </c>
      <c r="D20" s="6" t="s">
        <v>73</v>
      </c>
      <c r="E20" s="10" t="n">
        <v>799.24</v>
      </c>
      <c r="F20" s="11" t="n">
        <v>348</v>
      </c>
      <c r="G20" s="12" t="n">
        <v>1</v>
      </c>
      <c r="H20" s="12" t="s">
        <v>142</v>
      </c>
    </row>
    <row r="21" customFormat="false" ht="15" hidden="false" customHeight="false" outlineLevel="0" collapsed="false">
      <c r="A21" s="6" t="s">
        <v>94</v>
      </c>
      <c r="B21" s="6" t="s">
        <v>95</v>
      </c>
      <c r="C21" s="6" t="s">
        <v>96</v>
      </c>
      <c r="D21" s="6" t="s">
        <v>67</v>
      </c>
      <c r="E21" s="10" t="n">
        <v>152.2209</v>
      </c>
      <c r="F21" s="11" t="n">
        <v>114</v>
      </c>
      <c r="G21" s="12" t="n">
        <v>1</v>
      </c>
      <c r="H21" s="12" t="s">
        <v>143</v>
      </c>
    </row>
    <row r="22" customFormat="false" ht="15" hidden="false" customHeight="false" outlineLevel="0" collapsed="false">
      <c r="A22" s="6" t="s">
        <v>97</v>
      </c>
      <c r="B22" s="6" t="s">
        <v>95</v>
      </c>
      <c r="C22" s="6" t="s">
        <v>96</v>
      </c>
      <c r="D22" s="6" t="s">
        <v>81</v>
      </c>
      <c r="E22" s="10" t="n">
        <v>1977.8706</v>
      </c>
      <c r="F22" s="11" t="n">
        <v>1975</v>
      </c>
      <c r="G22" s="12" t="n">
        <v>1</v>
      </c>
      <c r="H22" s="12" t="s">
        <v>144</v>
      </c>
    </row>
    <row r="23" customFormat="false" ht="15" hidden="false" customHeight="false" outlineLevel="0" collapsed="false">
      <c r="A23" s="6" t="s">
        <v>98</v>
      </c>
      <c r="B23" s="6" t="s">
        <v>95</v>
      </c>
      <c r="C23" s="6" t="s">
        <v>96</v>
      </c>
      <c r="D23" s="6" t="s">
        <v>69</v>
      </c>
      <c r="E23" s="10" t="n">
        <v>7454.98</v>
      </c>
      <c r="F23" s="11" t="n">
        <v>1082</v>
      </c>
      <c r="G23" s="12" t="n">
        <v>1</v>
      </c>
      <c r="H23" s="12" t="s">
        <v>145</v>
      </c>
    </row>
    <row r="24" customFormat="false" ht="15" hidden="false" customHeight="false" outlineLevel="0" collapsed="false">
      <c r="A24" s="6" t="s">
        <v>99</v>
      </c>
      <c r="B24" s="6" t="s">
        <v>95</v>
      </c>
      <c r="C24" s="6" t="s">
        <v>96</v>
      </c>
      <c r="D24" s="6" t="s">
        <v>71</v>
      </c>
      <c r="E24" s="10" t="n">
        <v>816.0893</v>
      </c>
      <c r="F24" s="11" t="n">
        <v>1021</v>
      </c>
      <c r="G24" s="12" t="n">
        <v>1</v>
      </c>
      <c r="H24" s="12" t="s">
        <v>146</v>
      </c>
    </row>
    <row r="25" customFormat="false" ht="15" hidden="false" customHeight="false" outlineLevel="0" collapsed="false">
      <c r="A25" s="6" t="s">
        <v>100</v>
      </c>
      <c r="B25" s="6" t="s">
        <v>95</v>
      </c>
      <c r="C25" s="6" t="s">
        <v>96</v>
      </c>
      <c r="D25" s="6" t="s">
        <v>73</v>
      </c>
      <c r="E25" s="10" t="n">
        <v>1954.4633</v>
      </c>
      <c r="F25" s="11" t="n">
        <v>851</v>
      </c>
      <c r="G25" s="12" t="n">
        <v>1</v>
      </c>
      <c r="H25" s="12" t="s">
        <v>147</v>
      </c>
    </row>
    <row r="26" customFormat="false" ht="15" hidden="false" customHeight="false" outlineLevel="0" collapsed="false">
      <c r="A26" s="6" t="s">
        <v>101</v>
      </c>
      <c r="B26" s="6" t="s">
        <v>95</v>
      </c>
      <c r="C26" s="6" t="s">
        <v>102</v>
      </c>
      <c r="D26" s="6" t="s">
        <v>81</v>
      </c>
      <c r="E26" s="10" t="n">
        <v>1060.5392</v>
      </c>
      <c r="F26" s="11" t="n">
        <v>1059</v>
      </c>
      <c r="G26" s="12" t="n">
        <v>1</v>
      </c>
      <c r="H26" s="12" t="s">
        <v>148</v>
      </c>
    </row>
    <row r="27" customFormat="false" ht="15" hidden="false" customHeight="false" outlineLevel="0" collapsed="false">
      <c r="A27" s="6" t="s">
        <v>103</v>
      </c>
      <c r="B27" s="6" t="s">
        <v>95</v>
      </c>
      <c r="C27" s="6" t="s">
        <v>102</v>
      </c>
      <c r="D27" s="6" t="s">
        <v>69</v>
      </c>
      <c r="E27" s="10" t="n">
        <v>2611.31</v>
      </c>
      <c r="F27" s="11" t="n">
        <v>379</v>
      </c>
      <c r="G27" s="12" t="n">
        <v>1</v>
      </c>
      <c r="H27" s="12" t="s">
        <v>149</v>
      </c>
    </row>
    <row r="28" customFormat="false" ht="15" hidden="false" customHeight="false" outlineLevel="0" collapsed="false">
      <c r="A28" s="6" t="s">
        <v>104</v>
      </c>
      <c r="B28" s="6" t="s">
        <v>95</v>
      </c>
      <c r="C28" s="6" t="s">
        <v>102</v>
      </c>
      <c r="D28" s="6" t="s">
        <v>73</v>
      </c>
      <c r="E28" s="10" t="n">
        <v>1038.0933</v>
      </c>
      <c r="F28" s="11" t="n">
        <v>452</v>
      </c>
      <c r="G28" s="12" t="n">
        <v>1</v>
      </c>
      <c r="H28" s="12" t="s">
        <v>150</v>
      </c>
    </row>
    <row r="29" customFormat="false" ht="15" hidden="false" customHeight="false" outlineLevel="0" collapsed="false">
      <c r="A29" s="6" t="s">
        <v>105</v>
      </c>
      <c r="B29" s="6" t="s">
        <v>95</v>
      </c>
      <c r="C29" s="6" t="s">
        <v>106</v>
      </c>
      <c r="D29" s="6" t="s">
        <v>67</v>
      </c>
      <c r="E29" s="10" t="n">
        <v>160.2326</v>
      </c>
      <c r="F29" s="11" t="n">
        <v>120</v>
      </c>
      <c r="G29" s="12" t="n">
        <v>1</v>
      </c>
      <c r="H29" s="12" t="s">
        <v>151</v>
      </c>
    </row>
    <row r="30" customFormat="false" ht="15" hidden="false" customHeight="false" outlineLevel="0" collapsed="false">
      <c r="A30" s="6" t="s">
        <v>107</v>
      </c>
      <c r="B30" s="6" t="s">
        <v>95</v>
      </c>
      <c r="C30" s="6" t="s">
        <v>106</v>
      </c>
      <c r="D30" s="6" t="s">
        <v>81</v>
      </c>
      <c r="E30" s="10" t="n">
        <v>487.7078</v>
      </c>
      <c r="F30" s="11" t="n">
        <v>487</v>
      </c>
      <c r="G30" s="12" t="n">
        <v>1</v>
      </c>
      <c r="H30" s="12" t="s">
        <v>152</v>
      </c>
    </row>
    <row r="31" customFormat="false" ht="15" hidden="false" customHeight="false" outlineLevel="0" collapsed="false">
      <c r="A31" s="6" t="s">
        <v>108</v>
      </c>
      <c r="B31" s="6" t="s">
        <v>95</v>
      </c>
      <c r="C31" s="6" t="s">
        <v>106</v>
      </c>
      <c r="D31" s="6" t="s">
        <v>69</v>
      </c>
      <c r="E31" s="10" t="n">
        <v>475.41</v>
      </c>
      <c r="F31" s="11" t="n">
        <v>69</v>
      </c>
      <c r="G31" s="12" t="n">
        <v>1</v>
      </c>
      <c r="H31" s="12" t="s">
        <v>153</v>
      </c>
    </row>
    <row r="32" customFormat="false" ht="15" hidden="false" customHeight="false" outlineLevel="0" collapsed="false">
      <c r="A32" s="6" t="s">
        <v>109</v>
      </c>
      <c r="B32" s="6" t="s">
        <v>95</v>
      </c>
      <c r="C32" s="6" t="s">
        <v>106</v>
      </c>
      <c r="D32" s="6" t="s">
        <v>71</v>
      </c>
      <c r="E32" s="10" t="n">
        <v>314.9258</v>
      </c>
      <c r="F32" s="11" t="n">
        <v>394</v>
      </c>
      <c r="G32" s="12" t="n">
        <v>1</v>
      </c>
      <c r="H32" s="12" t="s">
        <v>154</v>
      </c>
    </row>
    <row r="33" customFormat="false" ht="15" hidden="false" customHeight="false" outlineLevel="0" collapsed="false">
      <c r="A33" s="6" t="s">
        <v>110</v>
      </c>
      <c r="B33" s="6" t="s">
        <v>95</v>
      </c>
      <c r="C33" s="6" t="s">
        <v>106</v>
      </c>
      <c r="D33" s="6" t="s">
        <v>73</v>
      </c>
      <c r="E33" s="10" t="n">
        <v>296.27</v>
      </c>
      <c r="F33" s="11" t="n">
        <v>129</v>
      </c>
      <c r="G33" s="12" t="n">
        <v>1</v>
      </c>
      <c r="H33" s="12" t="s">
        <v>155</v>
      </c>
    </row>
    <row r="34" customFormat="false" ht="15" hidden="false" customHeight="false" outlineLevel="0" collapsed="false">
      <c r="A34" s="6" t="s">
        <v>111</v>
      </c>
      <c r="B34" s="6" t="s">
        <v>112</v>
      </c>
      <c r="C34" s="6" t="s">
        <v>113</v>
      </c>
      <c r="D34" s="6" t="s">
        <v>67</v>
      </c>
      <c r="E34" s="10" t="n">
        <v>616.8953</v>
      </c>
      <c r="F34" s="11" t="n">
        <v>462</v>
      </c>
      <c r="G34" s="12" t="n">
        <v>1</v>
      </c>
      <c r="H34" s="12" t="s">
        <v>156</v>
      </c>
    </row>
    <row r="35" customFormat="false" ht="15" hidden="false" customHeight="false" outlineLevel="0" collapsed="false">
      <c r="A35" s="6" t="s">
        <v>114</v>
      </c>
      <c r="B35" s="6" t="s">
        <v>112</v>
      </c>
      <c r="C35" s="6" t="s">
        <v>113</v>
      </c>
      <c r="D35" s="6" t="s">
        <v>69</v>
      </c>
      <c r="E35" s="10" t="n">
        <v>633.88</v>
      </c>
      <c r="F35" s="11" t="n">
        <v>92</v>
      </c>
      <c r="G35" s="12" t="n">
        <v>1</v>
      </c>
      <c r="H35" s="12" t="s">
        <v>157</v>
      </c>
    </row>
    <row r="36" customFormat="false" ht="15" hidden="false" customHeight="false" outlineLevel="0" collapsed="false">
      <c r="A36" s="6" t="s">
        <v>115</v>
      </c>
      <c r="B36" s="6" t="s">
        <v>112</v>
      </c>
      <c r="C36" s="6" t="s">
        <v>113</v>
      </c>
      <c r="D36" s="6" t="s">
        <v>73</v>
      </c>
      <c r="E36" s="10" t="n">
        <v>181.4367</v>
      </c>
      <c r="F36" s="11" t="n">
        <v>79</v>
      </c>
      <c r="G36" s="12" t="n">
        <v>1</v>
      </c>
      <c r="H36" s="12" t="s">
        <v>158</v>
      </c>
    </row>
    <row r="37" customFormat="false" ht="15" hidden="false" customHeight="false" outlineLevel="0" collapsed="false">
      <c r="A37" s="6" t="s">
        <v>116</v>
      </c>
      <c r="B37" s="6" t="s">
        <v>112</v>
      </c>
      <c r="C37" s="6" t="s">
        <v>117</v>
      </c>
      <c r="D37" s="6" t="s">
        <v>67</v>
      </c>
      <c r="E37" s="10" t="n">
        <v>25.3702</v>
      </c>
      <c r="F37" s="11" t="n">
        <v>19</v>
      </c>
      <c r="G37" s="12" t="n">
        <v>1</v>
      </c>
      <c r="H37" s="12" t="s">
        <v>159</v>
      </c>
    </row>
    <row r="38" customFormat="false" ht="15" hidden="false" customHeight="false" outlineLevel="0" collapsed="false">
      <c r="A38" s="6" t="s">
        <v>118</v>
      </c>
      <c r="B38" s="6" t="s">
        <v>112</v>
      </c>
      <c r="C38" s="6" t="s">
        <v>117</v>
      </c>
      <c r="D38" s="6" t="s">
        <v>69</v>
      </c>
      <c r="E38" s="10" t="n">
        <v>82.68</v>
      </c>
      <c r="F38" s="11" t="n">
        <v>12</v>
      </c>
      <c r="G38" s="12" t="n">
        <v>1</v>
      </c>
      <c r="H38" s="12" t="s">
        <v>160</v>
      </c>
    </row>
    <row r="39" customFormat="false" ht="15" hidden="false" customHeight="false" outlineLevel="0" collapsed="false">
      <c r="A39" s="6" t="s">
        <v>119</v>
      </c>
      <c r="B39" s="6" t="s">
        <v>112</v>
      </c>
      <c r="C39" s="6" t="s">
        <v>117</v>
      </c>
      <c r="D39" s="6" t="s">
        <v>73</v>
      </c>
      <c r="E39" s="10" t="n">
        <v>50.5267</v>
      </c>
      <c r="F39" s="11" t="n">
        <v>22</v>
      </c>
      <c r="G39" s="12" t="n">
        <v>1</v>
      </c>
      <c r="H39" s="1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8" min="7" style="0" width="16"/>
  </cols>
  <sheetData>
    <row r="1" customFormat="false" ht="26.8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120</v>
      </c>
      <c r="E1" s="5" t="s">
        <v>59</v>
      </c>
      <c r="F1" s="5" t="s">
        <v>62</v>
      </c>
      <c r="G1" s="5" t="s">
        <v>162</v>
      </c>
      <c r="H1" s="5" t="s">
        <v>163</v>
      </c>
    </row>
    <row r="2" customFormat="false" ht="15" hidden="false" customHeight="false" outlineLevel="0" collapsed="false">
      <c r="A2" s="6" t="s">
        <v>65</v>
      </c>
      <c r="B2" s="6" t="s">
        <v>66</v>
      </c>
      <c r="C2" s="6" t="s">
        <v>67</v>
      </c>
      <c r="D2" s="13" t="n">
        <f aca="false">'Ekos Matched'!E2</f>
        <v>5561.405</v>
      </c>
      <c r="E2" s="8" t="n">
        <f aca="false">'CM Reference'!I2</f>
        <v>33.99</v>
      </c>
      <c r="F2" s="8" t="n">
        <f aca="false">'CM Reference'!L2</f>
        <v>16.5284615384615</v>
      </c>
      <c r="G2" s="8" t="n">
        <f aca="false">D2*F2</f>
        <v>91921.4686423077</v>
      </c>
      <c r="H2" s="8" t="n">
        <f aca="false">D2*E2</f>
        <v>189032.15595</v>
      </c>
    </row>
    <row r="3" customFormat="false" ht="15" hidden="false" customHeight="false" outlineLevel="0" collapsed="false">
      <c r="A3" s="6" t="s">
        <v>65</v>
      </c>
      <c r="B3" s="6" t="s">
        <v>66</v>
      </c>
      <c r="C3" s="6" t="s">
        <v>69</v>
      </c>
      <c r="D3" s="13" t="n">
        <f aca="false">'Ekos Matched'!E3</f>
        <v>1846.52</v>
      </c>
      <c r="E3" s="8" t="n">
        <f aca="false">'CM Reference'!I3</f>
        <v>20.75</v>
      </c>
      <c r="F3" s="8" t="n">
        <f aca="false">'CM Reference'!L3</f>
        <v>11.6238461538462</v>
      </c>
      <c r="G3" s="8" t="n">
        <f aca="false">D3*F3</f>
        <v>21463.6644</v>
      </c>
      <c r="H3" s="8" t="n">
        <f aca="false">D3*E3</f>
        <v>38315.29</v>
      </c>
    </row>
    <row r="4" customFormat="false" ht="15" hidden="false" customHeight="false" outlineLevel="0" collapsed="false">
      <c r="A4" s="6" t="s">
        <v>65</v>
      </c>
      <c r="B4" s="6" t="s">
        <v>66</v>
      </c>
      <c r="C4" s="6" t="s">
        <v>71</v>
      </c>
      <c r="D4" s="13" t="n">
        <f aca="false">'Ekos Matched'!E4</f>
        <v>493.9698</v>
      </c>
      <c r="E4" s="8" t="n">
        <f aca="false">'CM Reference'!I4</f>
        <v>30.62</v>
      </c>
      <c r="F4" s="8" t="n">
        <f aca="false">'CM Reference'!L4</f>
        <v>14.024847605225</v>
      </c>
      <c r="G4" s="8" t="n">
        <f aca="false">D4*F4</f>
        <v>6927.85116658345</v>
      </c>
      <c r="H4" s="8" t="n">
        <f aca="false">D4*E4</f>
        <v>15125.355276</v>
      </c>
    </row>
    <row r="5" customFormat="false" ht="15" hidden="false" customHeight="false" outlineLevel="0" collapsed="false">
      <c r="A5" s="6" t="s">
        <v>65</v>
      </c>
      <c r="B5" s="6" t="s">
        <v>66</v>
      </c>
      <c r="C5" s="6" t="s">
        <v>73</v>
      </c>
      <c r="D5" s="13" t="n">
        <f aca="false">'Ekos Matched'!E5</f>
        <v>461.63</v>
      </c>
      <c r="E5" s="8" t="n">
        <f aca="false">'CM Reference'!I5</f>
        <v>31.13</v>
      </c>
      <c r="F5" s="8" t="n">
        <f aca="false">'CM Reference'!L5</f>
        <v>22.0038461538462</v>
      </c>
      <c r="G5" s="8" t="n">
        <f aca="false">D5*F5</f>
        <v>10157.6355</v>
      </c>
      <c r="H5" s="8" t="n">
        <f aca="false">D5*E5</f>
        <v>14370.5419</v>
      </c>
    </row>
    <row r="6" customFormat="false" ht="15" hidden="false" customHeight="false" outlineLevel="0" collapsed="false">
      <c r="A6" s="6" t="s">
        <v>65</v>
      </c>
      <c r="B6" s="6" t="s">
        <v>75</v>
      </c>
      <c r="C6" s="6" t="s">
        <v>67</v>
      </c>
      <c r="D6" s="13" t="n">
        <f aca="false">'Ekos Matched'!E6</f>
        <v>1188.3915</v>
      </c>
      <c r="E6" s="8" t="n">
        <f aca="false">'CM Reference'!I6</f>
        <v>33.99</v>
      </c>
      <c r="F6" s="8" t="n">
        <f aca="false">'CM Reference'!L6</f>
        <v>19.0943541364296</v>
      </c>
      <c r="G6" s="8" t="n">
        <f aca="false">D6*F6</f>
        <v>22691.5681537228</v>
      </c>
      <c r="H6" s="8" t="n">
        <f aca="false">D6*E6</f>
        <v>40393.427085</v>
      </c>
    </row>
    <row r="7" customFormat="false" ht="15" hidden="false" customHeight="false" outlineLevel="0" collapsed="false">
      <c r="A7" s="6" t="s">
        <v>65</v>
      </c>
      <c r="B7" s="6" t="s">
        <v>75</v>
      </c>
      <c r="C7" s="6" t="s">
        <v>69</v>
      </c>
      <c r="D7" s="13" t="n">
        <f aca="false">'Ekos Matched'!E7</f>
        <v>1102.4</v>
      </c>
      <c r="E7" s="8" t="n">
        <f aca="false">'CM Reference'!I7</f>
        <v>20.76</v>
      </c>
      <c r="F7" s="8" t="n">
        <f aca="false">'CM Reference'!L7</f>
        <v>14.1997387518142</v>
      </c>
      <c r="G7" s="8" t="n">
        <f aca="false">D7*F7</f>
        <v>15653.792</v>
      </c>
      <c r="H7" s="8" t="n">
        <f aca="false">D7*E7</f>
        <v>22885.824</v>
      </c>
    </row>
    <row r="8" customFormat="false" ht="15" hidden="false" customHeight="false" outlineLevel="0" collapsed="false">
      <c r="A8" s="6" t="s">
        <v>65</v>
      </c>
      <c r="B8" s="6" t="s">
        <v>75</v>
      </c>
      <c r="C8" s="6" t="s">
        <v>71</v>
      </c>
      <c r="D8" s="13" t="n">
        <f aca="false">'Ekos Matched'!E8</f>
        <v>227.0023</v>
      </c>
      <c r="E8" s="8" t="n">
        <f aca="false">'CM Reference'!I8</f>
        <v>30.62</v>
      </c>
      <c r="F8" s="8" t="n">
        <f aca="false">'CM Reference'!L8</f>
        <v>16.590740203193</v>
      </c>
      <c r="G8" s="8" t="n">
        <f aca="false">D8*F8</f>
        <v>3766.13618482729</v>
      </c>
      <c r="H8" s="8" t="n">
        <f aca="false">D8*E8</f>
        <v>6950.810426</v>
      </c>
    </row>
    <row r="9" customFormat="false" ht="15" hidden="false" customHeight="false" outlineLevel="0" collapsed="false">
      <c r="A9" s="6" t="s">
        <v>65</v>
      </c>
      <c r="B9" s="6" t="s">
        <v>75</v>
      </c>
      <c r="C9" s="6" t="s">
        <v>73</v>
      </c>
      <c r="D9" s="13" t="n">
        <f aca="false">'Ekos Matched'!E9</f>
        <v>222.7767</v>
      </c>
      <c r="E9" s="8" t="n">
        <f aca="false">'CM Reference'!I9</f>
        <v>31.14</v>
      </c>
      <c r="F9" s="8" t="n">
        <f aca="false">'CM Reference'!L9</f>
        <v>24.5797387518142</v>
      </c>
      <c r="G9" s="8" t="n">
        <f aca="false">D9*F9</f>
        <v>5475.79308599129</v>
      </c>
      <c r="H9" s="8" t="n">
        <f aca="false">D9*E9</f>
        <v>6937.266438</v>
      </c>
    </row>
    <row r="10" customFormat="false" ht="15" hidden="false" customHeight="false" outlineLevel="0" collapsed="false">
      <c r="A10" s="6" t="s">
        <v>65</v>
      </c>
      <c r="B10" s="6" t="s">
        <v>80</v>
      </c>
      <c r="C10" s="6" t="s">
        <v>81</v>
      </c>
      <c r="D10" s="13" t="n">
        <f aca="false">'Ekos Matched'!E10</f>
        <v>1643.3852</v>
      </c>
      <c r="E10" s="8" t="n">
        <f aca="false">'CM Reference'!I10</f>
        <v>27.25</v>
      </c>
      <c r="F10" s="8" t="n">
        <f aca="false">'CM Reference'!L10</f>
        <v>11.1488969521045</v>
      </c>
      <c r="G10" s="8" t="n">
        <f aca="false">D10*F10</f>
        <v>18321.9322474136</v>
      </c>
      <c r="H10" s="8" t="n">
        <f aca="false">D10*E10</f>
        <v>44782.2467</v>
      </c>
    </row>
    <row r="11" customFormat="false" ht="15" hidden="false" customHeight="false" outlineLevel="0" collapsed="false">
      <c r="A11" s="6" t="s">
        <v>65</v>
      </c>
      <c r="B11" s="6" t="s">
        <v>80</v>
      </c>
      <c r="C11" s="6" t="s">
        <v>69</v>
      </c>
      <c r="D11" s="13" t="n">
        <f aca="false">'Ekos Matched'!E11</f>
        <v>1577.81</v>
      </c>
      <c r="E11" s="8" t="n">
        <f aca="false">'CM Reference'!I11</f>
        <v>19.59</v>
      </c>
      <c r="F11" s="8" t="n">
        <f aca="false">'CM Reference'!L11</f>
        <v>13.1648330914369</v>
      </c>
      <c r="G11" s="8" t="n">
        <f aca="false">D11*F11</f>
        <v>20771.6053</v>
      </c>
      <c r="H11" s="8" t="n">
        <f aca="false">D11*E11</f>
        <v>30909.2979</v>
      </c>
    </row>
    <row r="12" customFormat="false" ht="15" hidden="false" customHeight="false" outlineLevel="0" collapsed="false">
      <c r="A12" s="6" t="s">
        <v>65</v>
      </c>
      <c r="B12" s="6" t="s">
        <v>80</v>
      </c>
      <c r="C12" s="6" t="s">
        <v>71</v>
      </c>
      <c r="D12" s="13" t="n">
        <f aca="false">'Ekos Matched'!E12</f>
        <v>493.9698</v>
      </c>
      <c r="E12" s="8" t="n">
        <f aca="false">'CM Reference'!I12</f>
        <v>30.62</v>
      </c>
      <c r="F12" s="8" t="n">
        <f aca="false">'CM Reference'!L12</f>
        <v>16.7258345428157</v>
      </c>
      <c r="G12" s="8" t="n">
        <f aca="false">D12*F12</f>
        <v>8262.05714394775</v>
      </c>
      <c r="H12" s="8" t="n">
        <f aca="false">D12*E12</f>
        <v>15125.355276</v>
      </c>
    </row>
    <row r="13" customFormat="false" ht="15" hidden="false" customHeight="false" outlineLevel="0" collapsed="false">
      <c r="A13" s="6" t="s">
        <v>65</v>
      </c>
      <c r="B13" s="6" t="s">
        <v>80</v>
      </c>
      <c r="C13" s="6" t="s">
        <v>73</v>
      </c>
      <c r="D13" s="13" t="n">
        <f aca="false">'Ekos Matched'!E13</f>
        <v>773.9767</v>
      </c>
      <c r="E13" s="8" t="n">
        <f aca="false">'CM Reference'!I13</f>
        <v>26.56</v>
      </c>
      <c r="F13" s="8" t="n">
        <f aca="false">'CM Reference'!L13</f>
        <v>20.1348330914369</v>
      </c>
      <c r="G13" s="8" t="n">
        <f aca="false">D13*F13</f>
        <v>15583.8916711611</v>
      </c>
      <c r="H13" s="8" t="n">
        <f aca="false">D13*E13</f>
        <v>20556.821152</v>
      </c>
    </row>
    <row r="14" customFormat="false" ht="15" hidden="false" customHeight="false" outlineLevel="0" collapsed="false">
      <c r="A14" s="6" t="s">
        <v>65</v>
      </c>
      <c r="B14" s="6" t="s">
        <v>86</v>
      </c>
      <c r="C14" s="6" t="s">
        <v>67</v>
      </c>
      <c r="D14" s="13" t="n">
        <f aca="false">'Ekos Matched'!E14</f>
        <v>3204.6512</v>
      </c>
      <c r="E14" s="8" t="n">
        <f aca="false">'CM Reference'!I14</f>
        <v>36.25</v>
      </c>
      <c r="F14" s="8" t="n">
        <f aca="false">'CM Reference'!L14</f>
        <v>20.8373730043541</v>
      </c>
      <c r="G14" s="8" t="n">
        <f aca="false">D14*F14</f>
        <v>66776.5124032511</v>
      </c>
      <c r="H14" s="8" t="n">
        <f aca="false">D14*E14</f>
        <v>116168.606</v>
      </c>
    </row>
    <row r="15" customFormat="false" ht="15" hidden="false" customHeight="false" outlineLevel="0" collapsed="false">
      <c r="A15" s="6" t="s">
        <v>65</v>
      </c>
      <c r="B15" s="6" t="s">
        <v>86</v>
      </c>
      <c r="C15" s="6" t="s">
        <v>69</v>
      </c>
      <c r="D15" s="13" t="n">
        <f aca="false">'Ekos Matched'!E15</f>
        <v>840.58</v>
      </c>
      <c r="E15" s="8" t="n">
        <f aca="false">'CM Reference'!I15</f>
        <v>23.22</v>
      </c>
      <c r="F15" s="8" t="n">
        <f aca="false">'CM Reference'!L15</f>
        <v>16.1427576197388</v>
      </c>
      <c r="G15" s="8" t="n">
        <f aca="false">D15*F15</f>
        <v>13569.2792</v>
      </c>
      <c r="H15" s="8" t="n">
        <f aca="false">D15*E15</f>
        <v>19518.2676</v>
      </c>
    </row>
    <row r="16" customFormat="false" ht="15" hidden="false" customHeight="false" outlineLevel="0" collapsed="false">
      <c r="A16" s="6" t="s">
        <v>65</v>
      </c>
      <c r="B16" s="6" t="s">
        <v>86</v>
      </c>
      <c r="C16" s="6" t="s">
        <v>73</v>
      </c>
      <c r="D16" s="13" t="n">
        <f aca="false">'Ekos Matched'!E16</f>
        <v>583.3533</v>
      </c>
      <c r="E16" s="8" t="n">
        <f aca="false">'CM Reference'!I16</f>
        <v>32.44</v>
      </c>
      <c r="F16" s="8" t="n">
        <f aca="false">'CM Reference'!L16</f>
        <v>25.3627576197388</v>
      </c>
      <c r="G16" s="8" t="n">
        <f aca="false">D16*F16</f>
        <v>14795.4483545747</v>
      </c>
      <c r="H16" s="8" t="n">
        <f aca="false">D16*E16</f>
        <v>18923.981052</v>
      </c>
    </row>
    <row r="17" customFormat="false" ht="15" hidden="false" customHeight="false" outlineLevel="0" collapsed="false">
      <c r="A17" s="6" t="s">
        <v>65</v>
      </c>
      <c r="B17" s="6" t="s">
        <v>90</v>
      </c>
      <c r="C17" s="6" t="s">
        <v>67</v>
      </c>
      <c r="D17" s="13" t="n">
        <f aca="false">'Ekos Matched'!E17</f>
        <v>785.1395</v>
      </c>
      <c r="E17" s="8" t="n">
        <f aca="false">'CM Reference'!I17</f>
        <v>33.99</v>
      </c>
      <c r="F17" s="8" t="n">
        <f aca="false">'CM Reference'!L17</f>
        <v>16.5284615384615</v>
      </c>
      <c r="G17" s="8" t="n">
        <f aca="false">D17*F17</f>
        <v>12977.1480280769</v>
      </c>
      <c r="H17" s="8" t="n">
        <f aca="false">D17*E17</f>
        <v>26686.891605</v>
      </c>
    </row>
    <row r="18" customFormat="false" ht="15" hidden="false" customHeight="false" outlineLevel="0" collapsed="false">
      <c r="A18" s="6" t="s">
        <v>65</v>
      </c>
      <c r="B18" s="6" t="s">
        <v>90</v>
      </c>
      <c r="C18" s="6" t="s">
        <v>69</v>
      </c>
      <c r="D18" s="13" t="n">
        <f aca="false">'Ekos Matched'!E18</f>
        <v>757.9</v>
      </c>
      <c r="E18" s="8" t="n">
        <f aca="false">'CM Reference'!I18</f>
        <v>20.75</v>
      </c>
      <c r="F18" s="8" t="n">
        <f aca="false">'CM Reference'!L18</f>
        <v>11.6238461538462</v>
      </c>
      <c r="G18" s="8" t="n">
        <f aca="false">D18*F18</f>
        <v>8809.713</v>
      </c>
      <c r="H18" s="8" t="n">
        <f aca="false">D18*E18</f>
        <v>15726.425</v>
      </c>
    </row>
    <row r="19" customFormat="false" ht="15" hidden="false" customHeight="false" outlineLevel="0" collapsed="false">
      <c r="A19" s="6" t="s">
        <v>65</v>
      </c>
      <c r="B19" s="6" t="s">
        <v>90</v>
      </c>
      <c r="C19" s="6" t="s">
        <v>71</v>
      </c>
      <c r="D19" s="13" t="n">
        <f aca="false">'Ekos Matched'!E19</f>
        <v>161.4594</v>
      </c>
      <c r="E19" s="8" t="n">
        <f aca="false">'CM Reference'!I19</f>
        <v>30.62</v>
      </c>
      <c r="F19" s="8" t="n">
        <f aca="false">'CM Reference'!L19</f>
        <v>14.024847605225</v>
      </c>
      <c r="G19" s="8" t="n">
        <f aca="false">D19*F19</f>
        <v>2264.44347943106</v>
      </c>
      <c r="H19" s="8" t="n">
        <f aca="false">D19*E19</f>
        <v>4943.886828</v>
      </c>
    </row>
    <row r="20" customFormat="false" ht="15" hidden="false" customHeight="false" outlineLevel="0" collapsed="false">
      <c r="A20" s="6" t="s">
        <v>65</v>
      </c>
      <c r="B20" s="6" t="s">
        <v>90</v>
      </c>
      <c r="C20" s="6" t="s">
        <v>73</v>
      </c>
      <c r="D20" s="13" t="n">
        <f aca="false">'Ekos Matched'!E20</f>
        <v>799.24</v>
      </c>
      <c r="E20" s="8" t="n">
        <f aca="false">'CM Reference'!I20</f>
        <v>31.13</v>
      </c>
      <c r="F20" s="8" t="n">
        <f aca="false">'CM Reference'!L20</f>
        <v>22.0038461538462</v>
      </c>
      <c r="G20" s="8" t="n">
        <f aca="false">D20*F20</f>
        <v>17586.354</v>
      </c>
      <c r="H20" s="8" t="n">
        <f aca="false">D20*E20</f>
        <v>24880.3412</v>
      </c>
    </row>
    <row r="21" customFormat="false" ht="15" hidden="false" customHeight="false" outlineLevel="0" collapsed="false">
      <c r="A21" s="6" t="s">
        <v>95</v>
      </c>
      <c r="B21" s="6" t="s">
        <v>96</v>
      </c>
      <c r="C21" s="6" t="s">
        <v>67</v>
      </c>
      <c r="D21" s="13" t="n">
        <f aca="false">'Ekos Matched'!E21</f>
        <v>152.2209</v>
      </c>
      <c r="E21" s="8" t="n">
        <f aca="false">'CM Reference'!I21</f>
        <v>33.99</v>
      </c>
      <c r="F21" s="8" t="n">
        <f aca="false">'CM Reference'!L21</f>
        <v>19.0943541364296</v>
      </c>
      <c r="G21" s="8" t="n">
        <f aca="false">D21*F21</f>
        <v>2906.55977156604</v>
      </c>
      <c r="H21" s="8" t="n">
        <f aca="false">D21*E21</f>
        <v>5173.988391</v>
      </c>
    </row>
    <row r="22" customFormat="false" ht="15" hidden="false" customHeight="false" outlineLevel="0" collapsed="false">
      <c r="A22" s="6" t="s">
        <v>95</v>
      </c>
      <c r="B22" s="6" t="s">
        <v>96</v>
      </c>
      <c r="C22" s="6" t="s">
        <v>81</v>
      </c>
      <c r="D22" s="13" t="n">
        <f aca="false">'Ekos Matched'!E22</f>
        <v>1977.8706</v>
      </c>
      <c r="E22" s="8" t="n">
        <f aca="false">'CM Reference'!I22</f>
        <v>28.25</v>
      </c>
      <c r="F22" s="8" t="n">
        <f aca="false">'CM Reference'!L22</f>
        <v>12.0138026124819</v>
      </c>
      <c r="G22" s="8" t="n">
        <f aca="false">D22*F22</f>
        <v>23761.7469814311</v>
      </c>
      <c r="H22" s="8" t="n">
        <f aca="false">D22*E22</f>
        <v>55874.84445</v>
      </c>
    </row>
    <row r="23" customFormat="false" ht="15" hidden="false" customHeight="false" outlineLevel="0" collapsed="false">
      <c r="A23" s="6" t="s">
        <v>95</v>
      </c>
      <c r="B23" s="6" t="s">
        <v>96</v>
      </c>
      <c r="C23" s="6" t="s">
        <v>69</v>
      </c>
      <c r="D23" s="13" t="n">
        <f aca="false">'Ekos Matched'!E23</f>
        <v>7454.98</v>
      </c>
      <c r="E23" s="8" t="n">
        <f aca="false">'CM Reference'!I23</f>
        <v>20.76</v>
      </c>
      <c r="F23" s="8" t="n">
        <f aca="false">'CM Reference'!L23</f>
        <v>14.1997387518142</v>
      </c>
      <c r="G23" s="8" t="n">
        <f aca="false">D23*F23</f>
        <v>105858.7684</v>
      </c>
      <c r="H23" s="8" t="n">
        <f aca="false">D23*E23</f>
        <v>154765.3848</v>
      </c>
    </row>
    <row r="24" customFormat="false" ht="15" hidden="false" customHeight="false" outlineLevel="0" collapsed="false">
      <c r="A24" s="6" t="s">
        <v>95</v>
      </c>
      <c r="B24" s="6" t="s">
        <v>96</v>
      </c>
      <c r="C24" s="6" t="s">
        <v>71</v>
      </c>
      <c r="D24" s="13" t="n">
        <f aca="false">'Ekos Matched'!E24</f>
        <v>816.0893</v>
      </c>
      <c r="E24" s="8" t="n">
        <f aca="false">'CM Reference'!I24</f>
        <v>30.62</v>
      </c>
      <c r="F24" s="8" t="n">
        <f aca="false">'CM Reference'!L24</f>
        <v>16.590740203193</v>
      </c>
      <c r="G24" s="8" t="n">
        <f aca="false">D24*F24</f>
        <v>13539.5255589057</v>
      </c>
      <c r="H24" s="8" t="n">
        <f aca="false">D24*E24</f>
        <v>24988.654366</v>
      </c>
    </row>
    <row r="25" customFormat="false" ht="15" hidden="false" customHeight="false" outlineLevel="0" collapsed="false">
      <c r="A25" s="6" t="s">
        <v>95</v>
      </c>
      <c r="B25" s="6" t="s">
        <v>96</v>
      </c>
      <c r="C25" s="6" t="s">
        <v>73</v>
      </c>
      <c r="D25" s="13" t="n">
        <f aca="false">'Ekos Matched'!E25</f>
        <v>1954.4633</v>
      </c>
      <c r="E25" s="8" t="n">
        <f aca="false">'CM Reference'!I25</f>
        <v>30.48</v>
      </c>
      <c r="F25" s="8" t="n">
        <f aca="false">'CM Reference'!L25</f>
        <v>23.9197387518142</v>
      </c>
      <c r="G25" s="8" t="n">
        <f aca="false">D25*F25</f>
        <v>46750.2515360087</v>
      </c>
      <c r="H25" s="8" t="n">
        <f aca="false">D25*E25</f>
        <v>59572.041384</v>
      </c>
    </row>
    <row r="26" customFormat="false" ht="15" hidden="false" customHeight="false" outlineLevel="0" collapsed="false">
      <c r="A26" s="6" t="s">
        <v>95</v>
      </c>
      <c r="B26" s="6" t="s">
        <v>102</v>
      </c>
      <c r="C26" s="6" t="s">
        <v>81</v>
      </c>
      <c r="D26" s="13" t="n">
        <f aca="false">'Ekos Matched'!E26</f>
        <v>1060.5392</v>
      </c>
      <c r="E26" s="8" t="n">
        <f aca="false">'CM Reference'!I26</f>
        <v>28.25</v>
      </c>
      <c r="F26" s="8" t="n">
        <f aca="false">'CM Reference'!L26</f>
        <v>12.8639332365747</v>
      </c>
      <c r="G26" s="8" t="n">
        <f aca="false">D26*F26</f>
        <v>13642.7054635704</v>
      </c>
      <c r="H26" s="8" t="n">
        <f aca="false">D26*E26</f>
        <v>29960.2324</v>
      </c>
    </row>
    <row r="27" customFormat="false" ht="15" hidden="false" customHeight="false" outlineLevel="0" collapsed="false">
      <c r="A27" s="6" t="s">
        <v>95</v>
      </c>
      <c r="B27" s="6" t="s">
        <v>102</v>
      </c>
      <c r="C27" s="6" t="s">
        <v>69</v>
      </c>
      <c r="D27" s="13" t="n">
        <f aca="false">'Ekos Matched'!E27</f>
        <v>2611.31</v>
      </c>
      <c r="E27" s="8" t="n">
        <f aca="false">'CM Reference'!I27</f>
        <v>20.76</v>
      </c>
      <c r="F27" s="8" t="n">
        <f aca="false">'CM Reference'!L27</f>
        <v>15.0498693759071</v>
      </c>
      <c r="G27" s="8" t="n">
        <f aca="false">D27*F27</f>
        <v>39299.8744</v>
      </c>
      <c r="H27" s="8" t="n">
        <f aca="false">D27*E27</f>
        <v>54210.7956</v>
      </c>
    </row>
    <row r="28" customFormat="false" ht="15" hidden="false" customHeight="false" outlineLevel="0" collapsed="false">
      <c r="A28" s="6" t="s">
        <v>95</v>
      </c>
      <c r="B28" s="6" t="s">
        <v>102</v>
      </c>
      <c r="C28" s="6" t="s">
        <v>73</v>
      </c>
      <c r="D28" s="13" t="n">
        <f aca="false">'Ekos Matched'!E28</f>
        <v>1038.0933</v>
      </c>
      <c r="E28" s="8" t="n">
        <f aca="false">'CM Reference'!I28</f>
        <v>30.48</v>
      </c>
      <c r="F28" s="8" t="n">
        <f aca="false">'CM Reference'!L28</f>
        <v>24.7698693759071</v>
      </c>
      <c r="G28" s="8" t="n">
        <f aca="false">D28*F28</f>
        <v>25713.4354410044</v>
      </c>
      <c r="H28" s="8" t="n">
        <f aca="false">D28*E28</f>
        <v>31641.083784</v>
      </c>
    </row>
    <row r="29" customFormat="false" ht="15" hidden="false" customHeight="false" outlineLevel="0" collapsed="false">
      <c r="A29" s="6" t="s">
        <v>95</v>
      </c>
      <c r="B29" s="6" t="s">
        <v>106</v>
      </c>
      <c r="C29" s="6" t="s">
        <v>67</v>
      </c>
      <c r="D29" s="13" t="n">
        <f aca="false">'Ekos Matched'!E29</f>
        <v>160.2326</v>
      </c>
      <c r="E29" s="8" t="n">
        <f aca="false">'CM Reference'!I29</f>
        <v>33.99</v>
      </c>
      <c r="F29" s="8" t="n">
        <f aca="false">'CM Reference'!L29</f>
        <v>16.5284615384615</v>
      </c>
      <c r="G29" s="8" t="n">
        <f aca="false">D29*F29</f>
        <v>2648.39836630769</v>
      </c>
      <c r="H29" s="8" t="n">
        <f aca="false">D29*E29</f>
        <v>5446.306074</v>
      </c>
    </row>
    <row r="30" customFormat="false" ht="15" hidden="false" customHeight="false" outlineLevel="0" collapsed="false">
      <c r="A30" s="6" t="s">
        <v>95</v>
      </c>
      <c r="B30" s="6" t="s">
        <v>106</v>
      </c>
      <c r="C30" s="6" t="s">
        <v>81</v>
      </c>
      <c r="D30" s="13" t="n">
        <f aca="false">'Ekos Matched'!E30</f>
        <v>487.7078</v>
      </c>
      <c r="E30" s="8" t="n">
        <f aca="false">'CM Reference'!I30</f>
        <v>28.25</v>
      </c>
      <c r="F30" s="8" t="n">
        <f aca="false">'CM Reference'!L30</f>
        <v>9.44791001451379</v>
      </c>
      <c r="G30" s="8" t="n">
        <f aca="false">D30*F30</f>
        <v>4607.81940777649</v>
      </c>
      <c r="H30" s="8" t="n">
        <f aca="false">D30*E30</f>
        <v>13777.74535</v>
      </c>
    </row>
    <row r="31" customFormat="false" ht="15" hidden="false" customHeight="false" outlineLevel="0" collapsed="false">
      <c r="A31" s="6" t="s">
        <v>95</v>
      </c>
      <c r="B31" s="6" t="s">
        <v>106</v>
      </c>
      <c r="C31" s="6" t="s">
        <v>69</v>
      </c>
      <c r="D31" s="13" t="n">
        <f aca="false">'Ekos Matched'!E31</f>
        <v>475.41</v>
      </c>
      <c r="E31" s="8" t="n">
        <f aca="false">'CM Reference'!I31</f>
        <v>20.75</v>
      </c>
      <c r="F31" s="8" t="n">
        <f aca="false">'CM Reference'!L31</f>
        <v>11.6238461538462</v>
      </c>
      <c r="G31" s="8" t="n">
        <f aca="false">D31*F31</f>
        <v>5526.0927</v>
      </c>
      <c r="H31" s="8" t="n">
        <f aca="false">D31*E31</f>
        <v>9864.7575</v>
      </c>
    </row>
    <row r="32" customFormat="false" ht="15" hidden="false" customHeight="false" outlineLevel="0" collapsed="false">
      <c r="A32" s="6" t="s">
        <v>95</v>
      </c>
      <c r="B32" s="6" t="s">
        <v>106</v>
      </c>
      <c r="C32" s="6" t="s">
        <v>71</v>
      </c>
      <c r="D32" s="13" t="n">
        <f aca="false">'Ekos Matched'!E32</f>
        <v>314.9258</v>
      </c>
      <c r="E32" s="8" t="n">
        <f aca="false">'CM Reference'!I32</f>
        <v>30.62</v>
      </c>
      <c r="F32" s="8" t="n">
        <f aca="false">'CM Reference'!L32</f>
        <v>14.024847605225</v>
      </c>
      <c r="G32" s="8" t="n">
        <f aca="false">D32*F32</f>
        <v>4416.78635195356</v>
      </c>
      <c r="H32" s="8" t="n">
        <f aca="false">D32*E32</f>
        <v>9643.027996</v>
      </c>
    </row>
    <row r="33" customFormat="false" ht="15" hidden="false" customHeight="false" outlineLevel="0" collapsed="false">
      <c r="A33" s="6" t="s">
        <v>95</v>
      </c>
      <c r="B33" s="6" t="s">
        <v>106</v>
      </c>
      <c r="C33" s="6" t="s">
        <v>73</v>
      </c>
      <c r="D33" s="13" t="n">
        <f aca="false">'Ekos Matched'!E33</f>
        <v>296.27</v>
      </c>
      <c r="E33" s="8" t="n">
        <f aca="false">'CM Reference'!I33</f>
        <v>30.48</v>
      </c>
      <c r="F33" s="8" t="n">
        <f aca="false">'CM Reference'!L33</f>
        <v>21.3538461538462</v>
      </c>
      <c r="G33" s="8" t="n">
        <f aca="false">D33*F33</f>
        <v>6326.504</v>
      </c>
      <c r="H33" s="8" t="n">
        <f aca="false">D33*E33</f>
        <v>9030.3096</v>
      </c>
    </row>
    <row r="34" customFormat="false" ht="15" hidden="false" customHeight="false" outlineLevel="0" collapsed="false">
      <c r="A34" s="6" t="s">
        <v>112</v>
      </c>
      <c r="B34" s="6" t="s">
        <v>113</v>
      </c>
      <c r="C34" s="6" t="s">
        <v>67</v>
      </c>
      <c r="D34" s="13" t="n">
        <f aca="false">'Ekos Matched'!E34</f>
        <v>616.8953</v>
      </c>
      <c r="E34" s="8" t="n">
        <f aca="false">'CM Reference'!I34</f>
        <v>31.48</v>
      </c>
      <c r="F34" s="8" t="n">
        <f aca="false">'CM Reference'!L34</f>
        <v>12.2229317851959</v>
      </c>
      <c r="G34" s="8" t="n">
        <f aca="false">D34*F34</f>
        <v>7540.26917050799</v>
      </c>
      <c r="H34" s="8" t="n">
        <f aca="false">D34*E34</f>
        <v>19419.864044</v>
      </c>
    </row>
    <row r="35" customFormat="false" ht="15" hidden="false" customHeight="false" outlineLevel="0" collapsed="false">
      <c r="A35" s="6" t="s">
        <v>112</v>
      </c>
      <c r="B35" s="6" t="s">
        <v>113</v>
      </c>
      <c r="C35" s="6" t="s">
        <v>69</v>
      </c>
      <c r="D35" s="13" t="n">
        <f aca="false">'Ekos Matched'!E35</f>
        <v>633.88</v>
      </c>
      <c r="E35" s="8" t="n">
        <f aca="false">'CM Reference'!I35</f>
        <v>21.92</v>
      </c>
      <c r="F35" s="8" t="n">
        <f aca="false">'CM Reference'!L35</f>
        <v>10.9983164005806</v>
      </c>
      <c r="G35" s="8" t="n">
        <f aca="false">D35*F35</f>
        <v>6971.6128</v>
      </c>
      <c r="H35" s="8" t="n">
        <f aca="false">D35*E35</f>
        <v>13894.6496</v>
      </c>
    </row>
    <row r="36" customFormat="false" ht="15" hidden="false" customHeight="false" outlineLevel="0" collapsed="false">
      <c r="A36" s="6" t="s">
        <v>112</v>
      </c>
      <c r="B36" s="6" t="s">
        <v>113</v>
      </c>
      <c r="C36" s="6" t="s">
        <v>73</v>
      </c>
      <c r="D36" s="13" t="n">
        <f aca="false">'Ekos Matched'!E36</f>
        <v>181.4367</v>
      </c>
      <c r="E36" s="8" t="n">
        <f aca="false">'CM Reference'!I36</f>
        <v>31.35</v>
      </c>
      <c r="F36" s="8" t="n">
        <f aca="false">'CM Reference'!L36</f>
        <v>20.4283164005806</v>
      </c>
      <c r="G36" s="8" t="n">
        <f aca="false">D36*F36</f>
        <v>3706.44631427721</v>
      </c>
      <c r="H36" s="8" t="n">
        <f aca="false">D36*E36</f>
        <v>5688.040545</v>
      </c>
    </row>
    <row r="37" customFormat="false" ht="15" hidden="false" customHeight="false" outlineLevel="0" collapsed="false">
      <c r="A37" s="6" t="s">
        <v>112</v>
      </c>
      <c r="B37" s="6" t="s">
        <v>117</v>
      </c>
      <c r="C37" s="6" t="s">
        <v>67</v>
      </c>
      <c r="D37" s="13" t="n">
        <f aca="false">'Ekos Matched'!E37</f>
        <v>25.3702</v>
      </c>
      <c r="E37" s="8" t="n">
        <f aca="false">'CM Reference'!I37</f>
        <v>31.48</v>
      </c>
      <c r="F37" s="8" t="n">
        <f aca="false">'CM Reference'!L37</f>
        <v>13.0546008708273</v>
      </c>
      <c r="G37" s="8" t="n">
        <f aca="false">D37*F37</f>
        <v>331.197835013062</v>
      </c>
      <c r="H37" s="8" t="n">
        <f aca="false">D37*E37</f>
        <v>798.653896</v>
      </c>
    </row>
    <row r="38" customFormat="false" ht="15" hidden="false" customHeight="false" outlineLevel="0" collapsed="false">
      <c r="A38" s="6" t="s">
        <v>112</v>
      </c>
      <c r="B38" s="6" t="s">
        <v>117</v>
      </c>
      <c r="C38" s="6" t="s">
        <v>69</v>
      </c>
      <c r="D38" s="13" t="n">
        <f aca="false">'Ekos Matched'!E38</f>
        <v>82.68</v>
      </c>
      <c r="E38" s="8" t="n">
        <f aca="false">'CM Reference'!I38</f>
        <v>21.92</v>
      </c>
      <c r="F38" s="8" t="n">
        <f aca="false">'CM Reference'!L38</f>
        <v>11.8299854862119</v>
      </c>
      <c r="G38" s="8" t="n">
        <f aca="false">D38*F38</f>
        <v>978.1032</v>
      </c>
      <c r="H38" s="8" t="n">
        <f aca="false">D38*E38</f>
        <v>1812.3456</v>
      </c>
    </row>
    <row r="39" customFormat="false" ht="15" hidden="false" customHeight="false" outlineLevel="0" collapsed="false">
      <c r="A39" s="6" t="s">
        <v>112</v>
      </c>
      <c r="B39" s="6" t="s">
        <v>117</v>
      </c>
      <c r="C39" s="6" t="s">
        <v>73</v>
      </c>
      <c r="D39" s="13" t="n">
        <f aca="false">'Ekos Matched'!E39</f>
        <v>50.5267</v>
      </c>
      <c r="E39" s="8" t="n">
        <f aca="false">'CM Reference'!I39</f>
        <v>31.35</v>
      </c>
      <c r="F39" s="8" t="n">
        <f aca="false">'CM Reference'!L39</f>
        <v>21.2599854862119</v>
      </c>
      <c r="G39" s="8" t="n">
        <f aca="false">D39*F39</f>
        <v>1074.19690866618</v>
      </c>
      <c r="H39" s="8" t="n">
        <f aca="false">D39*E39</f>
        <v>1584.012045</v>
      </c>
    </row>
    <row r="40" customFormat="false" ht="15" hidden="false" customHeight="false" outlineLevel="0" collapsed="false">
      <c r="A40" s="14" t="s">
        <v>164</v>
      </c>
      <c r="B40" s="14"/>
      <c r="C40" s="14"/>
      <c r="D40" s="15" t="n">
        <f aca="false">SUM(D2:D39)</f>
        <v>43116.4621</v>
      </c>
      <c r="E40" s="16" t="n">
        <f aca="false">IFERROR(H40/D40,0)</f>
        <v>27.3533465263839</v>
      </c>
      <c r="F40" s="16" t="n">
        <f aca="false">IFERROR(G40/D40,0)</f>
        <v>16.0814815223042</v>
      </c>
      <c r="G40" s="17" t="n">
        <f aca="false">SUM(G2:G39)</f>
        <v>693376.588568277</v>
      </c>
      <c r="H40" s="17" t="n">
        <f aca="false">SUM(H2:H39)</f>
        <v>1179379.528813</v>
      </c>
    </row>
    <row r="42" customFormat="false" ht="15" hidden="false" customHeight="false" outlineLevel="0" collapsed="false">
      <c r="A42" s="18" t="s">
        <v>165</v>
      </c>
      <c r="E42" s="19" t="n">
        <f aca="false">IFERROR(F40/E40,0)</f>
        <v>0.587916418446006</v>
      </c>
    </row>
    <row r="44" customFormat="false" ht="45" hidden="false" customHeight="true" outlineLevel="0" collapsed="false">
      <c r="A44" s="20" t="s">
        <v>166</v>
      </c>
      <c r="B44" s="20"/>
      <c r="C44" s="20"/>
      <c r="D44" s="20"/>
      <c r="E44" s="20"/>
      <c r="F44" s="20"/>
      <c r="G44" s="20"/>
      <c r="H44" s="20"/>
    </row>
  </sheetData>
  <mergeCells count="1">
    <mergeCell ref="A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2026-09-09T19:53:34Z</dcterms:created>
  <dc:creator>openpyxl</dc:creator>
  <dc:description/>
  <dc:language>en-US</dc:language>
  <cp:lastModifiedBy/>
  <dcterms:modified xsi:type="dcterms:W3CDTF">2026-09-09T19:53:34Z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